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RIBB.AI/docs/kitchen/costing/technical-sheets/garnishes/"/>
    </mc:Choice>
  </mc:AlternateContent>
  <xr:revisionPtr revIDLastSave="1770" documentId="8_{69DE47EA-2116-43F5-8BD1-3032AE4F7687}" xr6:coauthVersionLast="47" xr6:coauthVersionMax="47" xr10:uidLastSave="{9B19B4E3-2198-4465-8E05-2C36F6DDC0E1}"/>
  <bookViews>
    <workbookView xWindow="-108" yWindow="-108" windowWidth="23256" windowHeight="12456" firstSheet="18" activeTab="22" xr2:uid="{C9B5A725-9A70-4133-811C-461B29FC9C0C}"/>
  </bookViews>
  <sheets>
    <sheet name="Manteiga A&amp;E" sheetId="1" r:id="rId1"/>
    <sheet name="Molho DG" sheetId="2" r:id="rId2"/>
    <sheet name="Molho Tártaro" sheetId="3" r:id="rId3"/>
    <sheet name="Puré Bat Doce" sheetId="4" r:id="rId4"/>
    <sheet name="Guacamole" sheetId="5" r:id="rId5"/>
    <sheet name="Pico de Gallo" sheetId="6" r:id="rId6"/>
    <sheet name="Cebola Caramelizada" sheetId="7" r:id="rId7"/>
    <sheet name="Cogumelos Assados" sheetId="9" r:id="rId8"/>
    <sheet name="Quinoa.Grão.Tofu" sheetId="11" r:id="rId9"/>
    <sheet name="Maionese Caju" sheetId="12" r:id="rId10"/>
    <sheet name="Pasta atum" sheetId="13" r:id="rId11"/>
    <sheet name="Pasta Frango" sheetId="14" r:id="rId12"/>
    <sheet name="Húmmus" sheetId="15" r:id="rId13"/>
    <sheet name="Granola Salgada" sheetId="16" r:id="rId14"/>
    <sheet name="Molho Figo" sheetId="17" r:id="rId15"/>
    <sheet name="Croutons" sheetId="18" r:id="rId16"/>
    <sheet name="Granola" sheetId="22" r:id="rId17"/>
    <sheet name="Choco Frito" sheetId="23" r:id="rId18"/>
    <sheet name="Molho Ponzu" sheetId="24" r:id="rId19"/>
    <sheet name="Arroz Sushi" sheetId="25" r:id="rId20"/>
    <sheet name="Maionese Picante" sheetId="29" r:id="rId21"/>
    <sheet name="Sú" sheetId="30" r:id="rId22"/>
    <sheet name="Praline Amendoim" sheetId="34" r:id="rId23"/>
    <sheet name="Compota Frutos Vermelhos" sheetId="35" r:id="rId2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<sst xmlns="http://schemas.openxmlformats.org/spreadsheetml/2006/main" count="482" uniqueCount="118">
  <si>
    <t>MANTEIGA ALHO E ERVAS - 1KG (X1,54)</t>
  </si>
  <si>
    <t>Ingredientes</t>
  </si>
  <si>
    <t>Quantidades</t>
  </si>
  <si>
    <t>Salsa</t>
  </si>
  <si>
    <t>Coentros</t>
  </si>
  <si>
    <t>Alho</t>
  </si>
  <si>
    <t>Sal grosso</t>
  </si>
  <si>
    <t>Custo Mercadoria s/Iva</t>
  </si>
  <si>
    <t>Preço Venda c/Iva</t>
  </si>
  <si>
    <t>Preço Venda s/Iva</t>
  </si>
  <si>
    <t>% food cost</t>
  </si>
  <si>
    <t xml:space="preserve">Preparação: </t>
  </si>
  <si>
    <t>Água</t>
  </si>
  <si>
    <t>Azeite</t>
  </si>
  <si>
    <t>Cebola</t>
  </si>
  <si>
    <t>Alho francês</t>
  </si>
  <si>
    <t>Cenoura</t>
  </si>
  <si>
    <t>Vinho branco</t>
  </si>
  <si>
    <t>Vinho do Porto</t>
  </si>
  <si>
    <t>Manteiga</t>
  </si>
  <si>
    <r>
      <t>Serviço:</t>
    </r>
    <r>
      <rPr>
        <sz val="11"/>
        <color theme="1"/>
        <rFont val="Arial"/>
        <family val="2"/>
      </rPr>
      <t xml:space="preserve"> </t>
    </r>
  </si>
  <si>
    <t>Custo</t>
  </si>
  <si>
    <t>Cornichons</t>
  </si>
  <si>
    <t>Sal fino</t>
  </si>
  <si>
    <t>Limão</t>
  </si>
  <si>
    <t>Maionese</t>
  </si>
  <si>
    <t xml:space="preserve"> </t>
  </si>
  <si>
    <t>MOLHO TÁRTARO - 1KG (X2,82)</t>
  </si>
  <si>
    <t>PURÉ BATATA DOCE - 1KG (X6,2)</t>
  </si>
  <si>
    <t>MOLHO DG - 1KG (X4,75)</t>
  </si>
  <si>
    <t>Abacate</t>
  </si>
  <si>
    <t>Lima</t>
  </si>
  <si>
    <t>Cebola roxa</t>
  </si>
  <si>
    <t>PICO DE GALLO - 1KG (X0,775)</t>
  </si>
  <si>
    <t>Sal</t>
  </si>
  <si>
    <t>Oregãos</t>
  </si>
  <si>
    <t>Molho soja</t>
  </si>
  <si>
    <t>Açúcar branco</t>
  </si>
  <si>
    <t>Mostarda dijon</t>
  </si>
  <si>
    <t>Demi glace Knorr</t>
  </si>
  <si>
    <t>Batata doce</t>
  </si>
  <si>
    <t>Cogumelo branco</t>
  </si>
  <si>
    <t>Preço s/ IVA</t>
  </si>
  <si>
    <t>IVA</t>
  </si>
  <si>
    <t>Preço c/ IVA</t>
  </si>
  <si>
    <t>Compota de figo</t>
  </si>
  <si>
    <t>Figo seco</t>
  </si>
  <si>
    <t>Mel</t>
  </si>
  <si>
    <t>CROUTONS (dose)</t>
  </si>
  <si>
    <t>Leite gordo</t>
  </si>
  <si>
    <t>Farinha s/ fermento</t>
  </si>
  <si>
    <t>Pota cong</t>
  </si>
  <si>
    <t>Aveia flocos</t>
  </si>
  <si>
    <t>Caju cru</t>
  </si>
  <si>
    <t>Sementes abóbora</t>
  </si>
  <si>
    <t>Amêndoa palitada</t>
  </si>
  <si>
    <t>Amendoim frito</t>
  </si>
  <si>
    <t>Miolo noz quartos</t>
  </si>
  <si>
    <t>Sementes girassol</t>
  </si>
  <si>
    <t>Sementes sésamo</t>
  </si>
  <si>
    <t>Sementes chia</t>
  </si>
  <si>
    <t>Semente chia</t>
  </si>
  <si>
    <t>Sementes linhaça</t>
  </si>
  <si>
    <t>Óleo AR</t>
  </si>
  <si>
    <t>Açafrão</t>
  </si>
  <si>
    <t>GRANOLA SALGADA - 1KG (X2,86)</t>
  </si>
  <si>
    <t>-</t>
  </si>
  <si>
    <t>Alho pó</t>
  </si>
  <si>
    <t>Cebolinho</t>
  </si>
  <si>
    <t>Atum bolsa</t>
  </si>
  <si>
    <t>PASTA FRANGO - 1KG (X1,815)</t>
  </si>
  <si>
    <t>PASTA ATUM - 1KG (X1,63)</t>
  </si>
  <si>
    <t>Grão-de-bico</t>
  </si>
  <si>
    <t>Tahine</t>
  </si>
  <si>
    <t>Alho descascado</t>
  </si>
  <si>
    <t>Tomate rama</t>
  </si>
  <si>
    <t>Vinagre Balsâmico</t>
  </si>
  <si>
    <t>Pão tosta</t>
  </si>
  <si>
    <t>Sú</t>
  </si>
  <si>
    <t>Sriracha</t>
  </si>
  <si>
    <t>Vinagre de arroz</t>
  </si>
  <si>
    <t>Laranja</t>
  </si>
  <si>
    <t>Saké</t>
  </si>
  <si>
    <t>Arroz sushi</t>
  </si>
  <si>
    <t>Molho kimchi</t>
  </si>
  <si>
    <t>Kombu</t>
  </si>
  <si>
    <t>Vinagre arroz</t>
  </si>
  <si>
    <t>Mirin</t>
  </si>
  <si>
    <t>SÚ - 1KG (X8,36)</t>
  </si>
  <si>
    <t>ARROZ SUSHI - 1KG (X6)</t>
  </si>
  <si>
    <t>MOLHO PONZU - 1KG (X0,606)</t>
  </si>
  <si>
    <t>Quinoa branca</t>
  </si>
  <si>
    <t>Quinoa vermelha</t>
  </si>
  <si>
    <t>Tofu</t>
  </si>
  <si>
    <t>Frutos do bosque cong</t>
  </si>
  <si>
    <t>Morangos congelados</t>
  </si>
  <si>
    <t>Açúcar amarelo</t>
  </si>
  <si>
    <t>Maçã vermelha</t>
  </si>
  <si>
    <t>Canela pau</t>
  </si>
  <si>
    <t>Amendoim crú</t>
  </si>
  <si>
    <t>Açúcar</t>
  </si>
  <si>
    <t>MAIONESE PICANTE - 1KG (X0,75)</t>
  </si>
  <si>
    <t>GRANOLA - 1KG (X8,225)</t>
  </si>
  <si>
    <t>GUACAMOLE - 1KG (X2,785)</t>
  </si>
  <si>
    <t>MIX QUINOA, GRÃO E TOFU - 1KG (X2,295)</t>
  </si>
  <si>
    <t>Leite aveia</t>
  </si>
  <si>
    <t>Pimenta branca pó</t>
  </si>
  <si>
    <t>Pimenta preta grão</t>
  </si>
  <si>
    <t>MAIONESE CAJU - 1KG (X1,853)</t>
  </si>
  <si>
    <t>MOLHO DE FIGO 1KG (X0,879)</t>
  </si>
  <si>
    <t>COGUMELOS ASSADOS - 1KG</t>
  </si>
  <si>
    <t>CEBOLA CARAMELIZADA - 1KG</t>
  </si>
  <si>
    <t>CHOCO FRITO MARINADO - 1KG (X3,636)</t>
  </si>
  <si>
    <t>PRALINÉ DE AMENDOIM - 1KG</t>
  </si>
  <si>
    <t>COMPOTA FRUTOS VERMELHOS - 1KG (X2,203)</t>
  </si>
  <si>
    <t>HÚMMUS - 1KG (X1,767)</t>
  </si>
  <si>
    <t>Peito frango cong</t>
  </si>
  <si>
    <t>Côco laminado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</si>
</sst>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44" fontId="4" fillId="0" borderId="17" xfId="2" applyFont="1" applyBorder="1" applyAlignment="1">
      <alignment vertical="center"/>
    </xf>
    <xf numFmtId="9" fontId="4" fillId="2" borderId="20" xfId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8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24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3" borderId="10" xfId="0" applyFont="1" applyFill="1" applyBorder="1" applyAlignment="1">
      <alignment horizontal="righ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44" fontId="2" fillId="0" borderId="17" xfId="2" applyFont="1" applyBorder="1" applyAlignment="1">
      <alignment vertical="center"/>
    </xf>
    <xf numFmtId="164" fontId="2" fillId="0" borderId="37" xfId="0" applyNumberFormat="1" applyFont="1" applyBorder="1" applyAlignment="1">
      <alignment horizontal="right" vertical="center"/>
    </xf>
    <xf numFmtId="164" fontId="2" fillId="3" borderId="31" xfId="0" applyNumberFormat="1" applyFont="1" applyFill="1" applyBorder="1" applyAlignment="1">
      <alignment horizontal="right" vertical="center"/>
    </xf>
    <xf numFmtId="164" fontId="2" fillId="0" borderId="31" xfId="0" applyNumberFormat="1" applyFont="1" applyBorder="1" applyAlignment="1">
      <alignment horizontal="right" vertical="center"/>
    </xf>
    <xf numFmtId="164" fontId="4" fillId="0" borderId="14" xfId="2" applyNumberFormat="1" applyFont="1" applyBorder="1" applyAlignment="1">
      <alignment vertical="center"/>
    </xf>
    <xf numFmtId="164" fontId="2" fillId="0" borderId="28" xfId="0" applyNumberFormat="1" applyFont="1" applyBorder="1" applyAlignment="1">
      <alignment horizontal="right" vertical="center"/>
    </xf>
    <xf numFmtId="164" fontId="2" fillId="0" borderId="29" xfId="0" applyNumberFormat="1" applyFont="1" applyBorder="1" applyAlignment="1">
      <alignment horizontal="right" vertical="center"/>
    </xf>
    <xf numFmtId="164" fontId="2" fillId="3" borderId="10" xfId="0" applyNumberFormat="1" applyFont="1" applyFill="1" applyBorder="1" applyAlignment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9" fontId="2" fillId="3" borderId="9" xfId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14" xfId="2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 vertical="center"/>
    </xf>
    <xf numFmtId="164" fontId="2" fillId="0" borderId="25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2" fillId="0" borderId="9" xfId="0" quotePrefix="1" applyNumberFormat="1" applyFont="1" applyBorder="1" applyAlignment="1">
      <alignment horizontal="right"/>
    </xf>
    <xf numFmtId="0" fontId="2" fillId="0" borderId="26" xfId="0" applyFont="1" applyBorder="1" applyAlignment="1">
      <alignment horizontal="right" vertical="center"/>
    </xf>
    <xf numFmtId="0" fontId="2" fillId="0" borderId="23" xfId="0" applyFont="1" applyBorder="1" applyAlignment="1">
      <alignment horizontal="right" vertical="center"/>
    </xf>
    <xf numFmtId="0" fontId="2" fillId="0" borderId="28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right" vertical="center"/>
    </xf>
    <xf numFmtId="164" fontId="2" fillId="0" borderId="32" xfId="0" applyNumberFormat="1" applyFont="1" applyBorder="1" applyAlignment="1">
      <alignment horizontal="right" vertical="center"/>
    </xf>
    <xf numFmtId="164" fontId="4" fillId="0" borderId="30" xfId="0" applyNumberFormat="1" applyFont="1" applyBorder="1" applyAlignment="1">
      <alignment horizontal="right" vertical="center"/>
    </xf>
    <xf numFmtId="9" fontId="2" fillId="0" borderId="9" xfId="1" applyFont="1" applyBorder="1" applyAlignment="1">
      <alignment horizontal="right" vertical="center"/>
    </xf>
    <xf numFmtId="9" fontId="2" fillId="0" borderId="9" xfId="1" quotePrefix="1" applyFont="1" applyBorder="1" applyAlignment="1">
      <alignment horizontal="right"/>
    </xf>
    <xf numFmtId="9" fontId="2" fillId="3" borderId="9" xfId="1" applyFont="1" applyFill="1" applyBorder="1" applyAlignment="1">
      <alignment horizontal="center" vertical="center"/>
    </xf>
    <xf numFmtId="9" fontId="2" fillId="0" borderId="9" xfId="1" applyFont="1" applyBorder="1" applyAlignment="1">
      <alignment horizontal="center"/>
    </xf>
    <xf numFmtId="9" fontId="2" fillId="0" borderId="9" xfId="1" applyFont="1" applyBorder="1" applyAlignment="1">
      <alignment horizontal="center" vertical="center"/>
    </xf>
    <xf numFmtId="9" fontId="2" fillId="0" borderId="25" xfId="1" applyFont="1" applyBorder="1" applyAlignment="1">
      <alignment horizontal="center" vertical="center"/>
    </xf>
    <xf numFmtId="9" fontId="2" fillId="0" borderId="22" xfId="1" applyFont="1" applyBorder="1" applyAlignment="1">
      <alignment horizontal="center" vertical="center"/>
    </xf>
    <xf numFmtId="165" fontId="2" fillId="3" borderId="9" xfId="0" quotePrefix="1" applyNumberFormat="1" applyFont="1" applyFill="1" applyBorder="1" applyAlignment="1">
      <alignment horizontal="right" vertical="center"/>
    </xf>
    <xf numFmtId="165" fontId="2" fillId="3" borderId="9" xfId="0" applyNumberFormat="1" applyFont="1" applyFill="1" applyBorder="1" applyAlignment="1">
      <alignment horizontal="right" vertical="center"/>
    </xf>
    <xf numFmtId="165" fontId="2" fillId="0" borderId="9" xfId="0" quotePrefix="1" applyNumberFormat="1" applyFont="1" applyBorder="1" applyAlignment="1">
      <alignment horizontal="right"/>
    </xf>
    <xf numFmtId="165" fontId="2" fillId="0" borderId="9" xfId="0" applyNumberFormat="1" applyFont="1" applyBorder="1" applyAlignment="1">
      <alignment horizontal="right" vertical="center"/>
    </xf>
    <xf numFmtId="165" fontId="2" fillId="3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Border="1" applyAlignment="1">
      <alignment horizontal="right" vertical="center"/>
    </xf>
    <xf numFmtId="9" fontId="2" fillId="0" borderId="0" xfId="1" applyFont="1" applyAlignment="1">
      <alignment horizontal="center" vertical="center"/>
    </xf>
    <xf numFmtId="9" fontId="2" fillId="0" borderId="28" xfId="1" applyFont="1" applyBorder="1" applyAlignment="1">
      <alignment horizontal="center" vertical="center"/>
    </xf>
    <xf numFmtId="9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9" fontId="2" fillId="3" borderId="31" xfId="1" applyFont="1" applyFill="1" applyBorder="1" applyAlignment="1">
      <alignment horizontal="center" vertical="center"/>
    </xf>
    <xf numFmtId="9" fontId="2" fillId="0" borderId="31" xfId="1" applyFont="1" applyBorder="1" applyAlignment="1">
      <alignment horizontal="center" vertical="center"/>
    </xf>
    <xf numFmtId="9" fontId="2" fillId="3" borderId="31" xfId="0" applyNumberFormat="1" applyFont="1" applyFill="1" applyBorder="1" applyAlignment="1">
      <alignment horizontal="center" vertical="center"/>
    </xf>
    <xf numFmtId="9" fontId="2" fillId="0" borderId="31" xfId="0" applyNumberFormat="1" applyFont="1" applyBorder="1" applyAlignment="1">
      <alignment horizontal="center" vertical="center"/>
    </xf>
    <xf numFmtId="9" fontId="2" fillId="0" borderId="36" xfId="0" applyNumberFormat="1" applyFont="1" applyBorder="1" applyAlignment="1">
      <alignment horizontal="center" vertical="center"/>
    </xf>
    <xf numFmtId="9" fontId="2" fillId="0" borderId="32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165" fontId="2" fillId="0" borderId="2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</cellXfs>
  <cellStyles count="3">
    <cellStyle name="Moeda 2" xfId="2" xr:uid="{EE253F40-88DB-44B7-998E-AD519E371E06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4524-FAF7-4674-AFBA-9AD03F6E9102}">
  <dimension ref="B1:G17"/>
  <sheetViews>
    <sheetView workbookViewId="0">
      <selection activeCell="J16" sqref="J1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0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19</v>
      </c>
      <c r="C5" s="18">
        <v>0.64900000000000002</v>
      </c>
      <c r="D5" s="30">
        <v>2.65</v>
      </c>
      <c r="E5" s="48">
        <v>0.06</v>
      </c>
      <c r="F5" s="28">
        <f>D5+(D5*E5)</f>
        <v>2.8089999999999997</v>
      </c>
      <c r="G5" s="32">
        <f>C5*D5</f>
        <v>1.7198500000000001</v>
      </c>
    </row>
    <row r="6" spans="2:7" x14ac:dyDescent="0.3">
      <c r="B6" s="7" t="s">
        <v>3</v>
      </c>
      <c r="C6" s="18">
        <v>0.13</v>
      </c>
      <c r="D6" s="30">
        <v>3.2</v>
      </c>
      <c r="E6" s="48">
        <v>0.06</v>
      </c>
      <c r="F6" s="28">
        <f t="shared" ref="F6:F9" si="0">D6+(D6*E6)</f>
        <v>3.3920000000000003</v>
      </c>
      <c r="G6" s="32">
        <f t="shared" ref="G6:G9" si="1">C6*D6</f>
        <v>0.41600000000000004</v>
      </c>
    </row>
    <row r="7" spans="2:7" x14ac:dyDescent="0.3">
      <c r="B7" s="7" t="s">
        <v>4</v>
      </c>
      <c r="C7" s="18">
        <v>0.13</v>
      </c>
      <c r="D7" s="30">
        <v>3.4</v>
      </c>
      <c r="E7" s="48">
        <v>0.06</v>
      </c>
      <c r="F7" s="28">
        <f t="shared" si="0"/>
        <v>3.6040000000000001</v>
      </c>
      <c r="G7" s="32">
        <f t="shared" si="1"/>
        <v>0.442</v>
      </c>
    </row>
    <row r="8" spans="2:7" x14ac:dyDescent="0.3">
      <c r="B8" s="7" t="s">
        <v>74</v>
      </c>
      <c r="C8" s="18">
        <v>6.5000000000000002E-2</v>
      </c>
      <c r="D8" s="30">
        <v>5.38</v>
      </c>
      <c r="E8" s="48">
        <v>0.06</v>
      </c>
      <c r="F8" s="28">
        <f t="shared" si="0"/>
        <v>5.7027999999999999</v>
      </c>
      <c r="G8" s="32">
        <f t="shared" si="1"/>
        <v>0.34970000000000001</v>
      </c>
    </row>
    <row r="9" spans="2:7" ht="15" thickBot="1" x14ac:dyDescent="0.35">
      <c r="B9" s="8" t="s">
        <v>6</v>
      </c>
      <c r="C9" s="17">
        <v>2.5999999999999999E-2</v>
      </c>
      <c r="D9" s="34">
        <v>0.315</v>
      </c>
      <c r="E9" s="49">
        <v>0.06</v>
      </c>
      <c r="F9" s="28">
        <f t="shared" si="0"/>
        <v>0.33389999999999997</v>
      </c>
      <c r="G9" s="32">
        <f t="shared" si="1"/>
        <v>8.1899999999999994E-3</v>
      </c>
    </row>
    <row r="10" spans="2:7" ht="15" thickTop="1" x14ac:dyDescent="0.3">
      <c r="B10" s="76" t="s">
        <v>7</v>
      </c>
      <c r="C10" s="77"/>
      <c r="D10" s="77"/>
      <c r="E10" s="77"/>
      <c r="F10" s="77"/>
      <c r="G10" s="26">
        <f>SUM(G5:G9)</f>
        <v>2.93574</v>
      </c>
    </row>
    <row r="11" spans="2:7" x14ac:dyDescent="0.3">
      <c r="B11" s="78" t="s">
        <v>8</v>
      </c>
      <c r="C11" s="79"/>
      <c r="D11" s="79"/>
      <c r="E11" s="79"/>
      <c r="F11" s="79"/>
      <c r="G11" s="9"/>
    </row>
    <row r="12" spans="2:7" x14ac:dyDescent="0.3">
      <c r="B12" s="80" t="s">
        <v>9</v>
      </c>
      <c r="C12" s="81"/>
      <c r="D12" s="81"/>
      <c r="E12" s="81"/>
      <c r="F12" s="81"/>
      <c r="G12" s="9"/>
    </row>
    <row r="13" spans="2:7" ht="15" thickBot="1" x14ac:dyDescent="0.35">
      <c r="B13" s="71" t="s">
        <v>10</v>
      </c>
      <c r="C13" s="72"/>
      <c r="D13" s="72"/>
      <c r="E13" s="72"/>
      <c r="F13" s="72"/>
      <c r="G13" s="10"/>
    </row>
    <row r="14" spans="2:7" ht="15" thickTop="1" x14ac:dyDescent="0.3">
      <c r="B14" s="2"/>
      <c r="C14" s="2"/>
      <c r="D14" s="2"/>
      <c r="E14" s="2"/>
      <c r="F14" s="2"/>
      <c r="G14" s="2"/>
    </row>
    <row r="15" spans="2:7" x14ac:dyDescent="0.3">
      <c r="B15" s="11" t="s">
        <v>11</v>
      </c>
      <c r="C15" s="11"/>
      <c r="D15" s="11"/>
      <c r="E15" s="11"/>
      <c r="F15" s="11"/>
      <c r="G15" s="11"/>
    </row>
    <row r="16" spans="2:7" x14ac:dyDescent="0.3">
      <c r="B16"/>
      <c r="C16"/>
      <c r="D16"/>
      <c r="E16"/>
      <c r="F16"/>
      <c r="G16"/>
    </row>
    <row r="17" customFormat="1" x14ac:dyDescent="0.3"/>
  </sheetData>
  <mergeCells count="5">
    <mergeCell ref="B13:F13"/>
    <mergeCell ref="B2:G2"/>
    <mergeCell ref="B10:F10"/>
    <mergeCell ref="B11:F11"/>
    <mergeCell ref="B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8A73-2F14-4746-9025-4A1B4C2B1906}">
  <dimension ref="B1:G22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29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39</v>
      </c>
      <c r="C5" s="57">
        <v>4.2000000000000003E-2</v>
      </c>
      <c r="D5" s="30">
        <v>12.23</v>
      </c>
      <c r="E5" s="48">
        <v>0.23</v>
      </c>
      <c r="F5" s="28">
        <f>D5+(D5*E5)</f>
        <v>15.042900000000001</v>
      </c>
      <c r="G5" s="32">
        <f>D5*C5</f>
        <v>0.51366000000000001</v>
      </c>
    </row>
    <row r="6" spans="2:7" x14ac:dyDescent="0.3">
      <c r="B6" s="7" t="s">
        <v>12</v>
      </c>
      <c r="C6" s="18">
        <v>0.42299999999999999</v>
      </c>
      <c r="D6" s="30" t="s">
        <v>66</v>
      </c>
      <c r="E6" s="48" t="s">
        <v>66</v>
      </c>
      <c r="F6" s="28" t="s">
        <v>66</v>
      </c>
      <c r="G6" s="32" t="s">
        <v>66</v>
      </c>
    </row>
    <row r="7" spans="2:7" x14ac:dyDescent="0.3">
      <c r="B7" s="7" t="s">
        <v>13</v>
      </c>
      <c r="C7" s="18">
        <v>2.1000000000000001E-2</v>
      </c>
      <c r="D7" s="30">
        <v>2.98</v>
      </c>
      <c r="E7" s="48">
        <v>0.06</v>
      </c>
      <c r="F7" s="28">
        <f t="shared" ref="F7:F15" si="0">D7+(D7*E7)</f>
        <v>3.1587999999999998</v>
      </c>
      <c r="G7" s="32">
        <f t="shared" ref="G7:G15" si="1">D7*C7</f>
        <v>6.2579999999999997E-2</v>
      </c>
    </row>
    <row r="8" spans="2:7" x14ac:dyDescent="0.3">
      <c r="B8" s="8" t="s">
        <v>14</v>
      </c>
      <c r="C8" s="18">
        <v>0.16800000000000001</v>
      </c>
      <c r="D8" s="34">
        <v>0.8</v>
      </c>
      <c r="E8" s="49">
        <v>0.06</v>
      </c>
      <c r="F8" s="28">
        <f t="shared" si="0"/>
        <v>0.84800000000000009</v>
      </c>
      <c r="G8" s="32">
        <f t="shared" si="1"/>
        <v>0.13440000000000002</v>
      </c>
    </row>
    <row r="9" spans="2:7" x14ac:dyDescent="0.3">
      <c r="B9" s="12" t="s">
        <v>15</v>
      </c>
      <c r="C9" s="17">
        <v>8.4000000000000005E-2</v>
      </c>
      <c r="D9" s="35">
        <v>1.2</v>
      </c>
      <c r="E9" s="50">
        <v>0.06</v>
      </c>
      <c r="F9" s="28">
        <f t="shared" si="0"/>
        <v>1.272</v>
      </c>
      <c r="G9" s="32">
        <f t="shared" si="1"/>
        <v>0.1008</v>
      </c>
    </row>
    <row r="10" spans="2:7" x14ac:dyDescent="0.3">
      <c r="B10" s="12" t="s">
        <v>16</v>
      </c>
      <c r="C10" s="17">
        <v>0.16800000000000001</v>
      </c>
      <c r="D10" s="35">
        <v>1.1000000000000001</v>
      </c>
      <c r="E10" s="50">
        <v>0.06</v>
      </c>
      <c r="F10" s="28">
        <f t="shared" si="0"/>
        <v>1.1660000000000001</v>
      </c>
      <c r="G10" s="32">
        <f t="shared" si="1"/>
        <v>0.18480000000000002</v>
      </c>
    </row>
    <row r="11" spans="2:7" x14ac:dyDescent="0.3">
      <c r="B11" s="12" t="s">
        <v>17</v>
      </c>
      <c r="C11" s="17">
        <v>4.2000000000000003E-2</v>
      </c>
      <c r="D11" s="35">
        <v>0.91</v>
      </c>
      <c r="E11" s="50">
        <v>0.13</v>
      </c>
      <c r="F11" s="28">
        <f t="shared" si="0"/>
        <v>1.0283</v>
      </c>
      <c r="G11" s="32">
        <f t="shared" si="1"/>
        <v>3.8220000000000004E-2</v>
      </c>
    </row>
    <row r="12" spans="2:7" x14ac:dyDescent="0.3">
      <c r="B12" s="12" t="s">
        <v>18</v>
      </c>
      <c r="C12" s="17">
        <v>2.1000000000000001E-2</v>
      </c>
      <c r="D12" s="35">
        <v>4.7699999999999996</v>
      </c>
      <c r="E12" s="50">
        <v>0.23</v>
      </c>
      <c r="F12" s="28">
        <f t="shared" si="0"/>
        <v>5.8670999999999998</v>
      </c>
      <c r="G12" s="32">
        <f t="shared" si="1"/>
        <v>0.10017</v>
      </c>
    </row>
    <row r="13" spans="2:7" x14ac:dyDescent="0.3">
      <c r="B13" s="12" t="s">
        <v>19</v>
      </c>
      <c r="C13" s="17">
        <v>2.1000000000000001E-2</v>
      </c>
      <c r="D13" s="35">
        <v>2.65</v>
      </c>
      <c r="E13" s="50">
        <v>0.06</v>
      </c>
      <c r="F13" s="28">
        <f t="shared" si="0"/>
        <v>2.8089999999999997</v>
      </c>
      <c r="G13" s="32">
        <f t="shared" si="1"/>
        <v>5.5650000000000005E-2</v>
      </c>
    </row>
    <row r="14" spans="2:7" x14ac:dyDescent="0.3">
      <c r="B14" s="15" t="s">
        <v>38</v>
      </c>
      <c r="C14" s="40">
        <v>6.0000000000000001E-3</v>
      </c>
      <c r="D14" s="36">
        <v>3.67</v>
      </c>
      <c r="E14" s="51">
        <v>0.23</v>
      </c>
      <c r="F14" s="28">
        <f t="shared" si="0"/>
        <v>4.5141</v>
      </c>
      <c r="G14" s="32">
        <f t="shared" si="1"/>
        <v>2.2020000000000001E-2</v>
      </c>
    </row>
    <row r="15" spans="2:7" ht="15" thickBot="1" x14ac:dyDescent="0.35">
      <c r="B15" s="13" t="s">
        <v>6</v>
      </c>
      <c r="C15" s="41">
        <v>4.0000000000000001E-3</v>
      </c>
      <c r="D15" s="37">
        <v>0.315</v>
      </c>
      <c r="E15" s="52">
        <v>0.06</v>
      </c>
      <c r="F15" s="28">
        <f t="shared" si="0"/>
        <v>0.33389999999999997</v>
      </c>
      <c r="G15" s="32">
        <f t="shared" si="1"/>
        <v>1.2600000000000001E-3</v>
      </c>
    </row>
    <row r="16" spans="2:7" ht="15" thickTop="1" x14ac:dyDescent="0.3">
      <c r="B16" s="76" t="s">
        <v>7</v>
      </c>
      <c r="C16" s="77"/>
      <c r="D16" s="77"/>
      <c r="E16" s="77"/>
      <c r="F16" s="77"/>
      <c r="G16" s="33">
        <f>SUM(G5:G15)</f>
        <v>1.21356</v>
      </c>
    </row>
    <row r="17" spans="2:7" x14ac:dyDescent="0.3">
      <c r="B17" s="78" t="s">
        <v>8</v>
      </c>
      <c r="C17" s="79"/>
      <c r="D17" s="79"/>
      <c r="E17" s="79"/>
      <c r="F17" s="79"/>
      <c r="G17" s="9"/>
    </row>
    <row r="18" spans="2:7" x14ac:dyDescent="0.3">
      <c r="B18" s="80" t="s">
        <v>9</v>
      </c>
      <c r="C18" s="81"/>
      <c r="D18" s="81"/>
      <c r="E18" s="81"/>
      <c r="F18" s="81"/>
      <c r="G18" s="9"/>
    </row>
    <row r="19" spans="2:7" ht="15" thickBot="1" x14ac:dyDescent="0.35">
      <c r="B19" s="71" t="s">
        <v>10</v>
      </c>
      <c r="C19" s="72"/>
      <c r="D19" s="72"/>
      <c r="E19" s="72"/>
      <c r="F19" s="72"/>
      <c r="G19" s="10"/>
    </row>
    <row r="20" spans="2:7" ht="15" thickTop="1" x14ac:dyDescent="0.3">
      <c r="B20" s="2"/>
      <c r="C20" s="2"/>
      <c r="D20" s="2"/>
      <c r="E20" s="2"/>
      <c r="F20" s="2"/>
      <c r="G20" s="2"/>
    </row>
    <row r="21" spans="2:7" x14ac:dyDescent="0.3">
      <c r="B21" s="11" t="s">
        <v>11</v>
      </c>
      <c r="C21" s="11"/>
      <c r="D21" s="11"/>
      <c r="E21" s="11"/>
      <c r="F21" s="11"/>
      <c r="G21" s="11"/>
    </row>
    <row r="22" spans="2:7" x14ac:dyDescent="0.3">
      <c r="B22" s="14" t="s">
        <v>20</v>
      </c>
      <c r="C22" s="14"/>
      <c r="D22" s="14"/>
      <c r="E22" s="14"/>
      <c r="F22" s="14"/>
      <c r="G22" s="14"/>
    </row>
  </sheetData>
  <mergeCells count="5">
    <mergeCell ref="B19:F19"/>
    <mergeCell ref="B2:G2"/>
    <mergeCell ref="B16:F16"/>
    <mergeCell ref="B17:F17"/>
    <mergeCell ref="B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9873-2F90-49F9-B163-AC98AE91C3F7}">
  <dimension ref="B1:G17"/>
  <sheetViews>
    <sheetView workbookViewId="0">
      <selection activeCell="M17" sqref="M17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27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38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22</v>
      </c>
      <c r="C5" s="16">
        <v>0.106</v>
      </c>
      <c r="D5" s="30">
        <v>5.63</v>
      </c>
      <c r="E5" s="31">
        <v>0.23</v>
      </c>
      <c r="F5" s="29">
        <f>D5+(D5*E5)</f>
        <v>6.9249000000000001</v>
      </c>
      <c r="G5" s="32">
        <f>D5*C5</f>
        <v>0.59677999999999998</v>
      </c>
    </row>
    <row r="6" spans="2:7" x14ac:dyDescent="0.3">
      <c r="B6" s="7" t="s">
        <v>14</v>
      </c>
      <c r="C6" s="16">
        <v>7.8E-2</v>
      </c>
      <c r="D6" s="30">
        <v>0.8</v>
      </c>
      <c r="E6" s="31">
        <v>0.06</v>
      </c>
      <c r="F6" s="29">
        <f t="shared" ref="F6:F10" si="0">D6+(D6*E6)</f>
        <v>0.84800000000000009</v>
      </c>
      <c r="G6" s="32">
        <f t="shared" ref="G6:G10" si="1">D6*C6</f>
        <v>6.2400000000000004E-2</v>
      </c>
    </row>
    <row r="7" spans="2:7" x14ac:dyDescent="0.3">
      <c r="B7" s="7" t="s">
        <v>3</v>
      </c>
      <c r="C7" s="53">
        <v>6.3799999999999996E-2</v>
      </c>
      <c r="D7" s="30">
        <v>3.2</v>
      </c>
      <c r="E7" s="31">
        <v>0.06</v>
      </c>
      <c r="F7" s="29">
        <f t="shared" si="0"/>
        <v>3.3920000000000003</v>
      </c>
      <c r="G7" s="32">
        <f t="shared" si="1"/>
        <v>0.20416000000000001</v>
      </c>
    </row>
    <row r="8" spans="2:7" x14ac:dyDescent="0.3">
      <c r="B8" s="7" t="s">
        <v>23</v>
      </c>
      <c r="C8" s="54">
        <v>1.4E-2</v>
      </c>
      <c r="D8" s="30">
        <v>1.4</v>
      </c>
      <c r="E8" s="31">
        <v>0.06</v>
      </c>
      <c r="F8" s="29">
        <f t="shared" si="0"/>
        <v>1.484</v>
      </c>
      <c r="G8" s="32">
        <f t="shared" si="1"/>
        <v>1.9599999999999999E-2</v>
      </c>
    </row>
    <row r="9" spans="2:7" x14ac:dyDescent="0.3">
      <c r="B9" s="8" t="s">
        <v>24</v>
      </c>
      <c r="C9" s="55">
        <v>3.5499999999999997E-2</v>
      </c>
      <c r="D9" s="39">
        <v>1.6</v>
      </c>
      <c r="E9" s="47">
        <v>0.06</v>
      </c>
      <c r="F9" s="29">
        <f t="shared" si="0"/>
        <v>1.6960000000000002</v>
      </c>
      <c r="G9" s="32">
        <f t="shared" si="1"/>
        <v>5.6799999999999996E-2</v>
      </c>
    </row>
    <row r="10" spans="2:7" ht="15" thickBot="1" x14ac:dyDescent="0.35">
      <c r="B10" s="12" t="s">
        <v>25</v>
      </c>
      <c r="C10" s="56">
        <v>0.70920000000000005</v>
      </c>
      <c r="D10" s="35">
        <v>2.16</v>
      </c>
      <c r="E10" s="46">
        <v>0.23</v>
      </c>
      <c r="F10" s="29">
        <f t="shared" si="0"/>
        <v>2.6568000000000001</v>
      </c>
      <c r="G10" s="32">
        <f t="shared" si="1"/>
        <v>1.5318720000000001</v>
      </c>
    </row>
    <row r="11" spans="2:7" ht="15" thickTop="1" x14ac:dyDescent="0.3">
      <c r="B11" s="76" t="s">
        <v>7</v>
      </c>
      <c r="C11" s="77"/>
      <c r="D11" s="77"/>
      <c r="E11" s="77"/>
      <c r="F11" s="77"/>
      <c r="G11" s="26">
        <f>SUM(G5:G10)</f>
        <v>2.4716119999999999</v>
      </c>
    </row>
    <row r="12" spans="2:7" x14ac:dyDescent="0.3">
      <c r="B12" s="78" t="s">
        <v>8</v>
      </c>
      <c r="C12" s="79"/>
      <c r="D12" s="79"/>
      <c r="E12" s="79"/>
      <c r="F12" s="79"/>
      <c r="G12" s="9" t="s">
        <v>26</v>
      </c>
    </row>
    <row r="13" spans="2:7" x14ac:dyDescent="0.3">
      <c r="B13" s="80" t="s">
        <v>9</v>
      </c>
      <c r="C13" s="81"/>
      <c r="D13" s="81"/>
      <c r="E13" s="81"/>
      <c r="F13" s="81"/>
      <c r="G13" s="9"/>
    </row>
    <row r="14" spans="2:7" ht="15" thickBot="1" x14ac:dyDescent="0.35">
      <c r="B14" s="71" t="s">
        <v>10</v>
      </c>
      <c r="C14" s="72"/>
      <c r="D14" s="72"/>
      <c r="E14" s="72"/>
      <c r="F14" s="72"/>
      <c r="G14" s="10"/>
    </row>
    <row r="15" spans="2:7" ht="15" thickTop="1" x14ac:dyDescent="0.3">
      <c r="B15" s="2"/>
      <c r="C15" s="2"/>
      <c r="D15" s="2"/>
      <c r="E15" s="2"/>
      <c r="F15" s="2"/>
      <c r="G15" s="2"/>
    </row>
    <row r="16" spans="2:7" x14ac:dyDescent="0.3">
      <c r="B16" s="11" t="s">
        <v>11</v>
      </c>
      <c r="C16" s="11"/>
      <c r="D16" s="11"/>
      <c r="E16" s="11"/>
      <c r="F16" s="11"/>
      <c r="G16" s="11"/>
    </row>
    <row r="17" spans="2:7" x14ac:dyDescent="0.3">
      <c r="B17" s="14" t="s">
        <v>20</v>
      </c>
      <c r="C17" s="14"/>
      <c r="D17" s="14"/>
      <c r="E17" s="14"/>
      <c r="F17" s="14"/>
      <c r="G17" s="14"/>
    </row>
  </sheetData>
  <mergeCells count="5">
    <mergeCell ref="B14:F14"/>
    <mergeCell ref="B2:G2"/>
    <mergeCell ref="B11:F11"/>
    <mergeCell ref="B12:F12"/>
    <mergeCell ref="B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A271-23BE-4685-A879-7C1170FAB450}">
  <dimension ref="B1:G16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28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40</v>
      </c>
      <c r="C5" s="57">
        <v>0.3226</v>
      </c>
      <c r="D5" s="30">
        <v>2.4</v>
      </c>
      <c r="E5" s="59">
        <v>0.06</v>
      </c>
      <c r="F5" s="29">
        <f>D5+(D5*E5)</f>
        <v>2.544</v>
      </c>
      <c r="G5" s="32">
        <f>D5*C5</f>
        <v>0.77423999999999993</v>
      </c>
    </row>
    <row r="6" spans="2:7" x14ac:dyDescent="0.3">
      <c r="B6" s="7" t="s">
        <v>19</v>
      </c>
      <c r="C6" s="57">
        <v>1.61E-2</v>
      </c>
      <c r="D6" s="30">
        <v>2.65</v>
      </c>
      <c r="E6" s="48">
        <v>0.06</v>
      </c>
      <c r="F6" s="29">
        <f t="shared" ref="F6:F9" si="0">D6+(D6*E6)</f>
        <v>2.8089999999999997</v>
      </c>
      <c r="G6" s="32">
        <f t="shared" ref="G6:G9" si="1">D6*C6</f>
        <v>4.2664999999999995E-2</v>
      </c>
    </row>
    <row r="7" spans="2:7" x14ac:dyDescent="0.3">
      <c r="B7" s="7" t="s">
        <v>12</v>
      </c>
      <c r="C7" s="57">
        <v>0.6452</v>
      </c>
      <c r="D7" s="30" t="s">
        <v>66</v>
      </c>
      <c r="E7" s="48" t="s">
        <v>66</v>
      </c>
      <c r="F7" s="29" t="s">
        <v>66</v>
      </c>
      <c r="G7" s="32" t="s">
        <v>66</v>
      </c>
    </row>
    <row r="8" spans="2:7" x14ac:dyDescent="0.3">
      <c r="B8" s="8" t="s">
        <v>6</v>
      </c>
      <c r="C8" s="57">
        <v>8.0999999999999996E-3</v>
      </c>
      <c r="D8" s="34">
        <v>0.315</v>
      </c>
      <c r="E8" s="48">
        <v>0.06</v>
      </c>
      <c r="F8" s="29">
        <f t="shared" si="0"/>
        <v>0.33389999999999997</v>
      </c>
      <c r="G8" s="32">
        <f t="shared" si="1"/>
        <v>2.5514999999999999E-3</v>
      </c>
    </row>
    <row r="9" spans="2:7" ht="15" thickBot="1" x14ac:dyDescent="0.35">
      <c r="B9" s="8" t="s">
        <v>13</v>
      </c>
      <c r="C9" s="58">
        <v>8.0999999999999996E-3</v>
      </c>
      <c r="D9" s="34">
        <v>2.98</v>
      </c>
      <c r="E9" s="50">
        <v>0.06</v>
      </c>
      <c r="F9" s="29">
        <f t="shared" si="0"/>
        <v>3.1587999999999998</v>
      </c>
      <c r="G9" s="32">
        <f t="shared" si="1"/>
        <v>2.4138E-2</v>
      </c>
    </row>
    <row r="10" spans="2:7" ht="15" thickTop="1" x14ac:dyDescent="0.3">
      <c r="B10" s="76" t="s">
        <v>7</v>
      </c>
      <c r="C10" s="77"/>
      <c r="D10" s="77"/>
      <c r="E10" s="77"/>
      <c r="F10" s="77"/>
      <c r="G10" s="26">
        <f>SUM(G5:G9)</f>
        <v>0.84359449999999991</v>
      </c>
    </row>
    <row r="11" spans="2:7" x14ac:dyDescent="0.3">
      <c r="B11" s="78" t="s">
        <v>8</v>
      </c>
      <c r="C11" s="79"/>
      <c r="D11" s="79"/>
      <c r="E11" s="79"/>
      <c r="F11" s="79"/>
      <c r="G11" s="9"/>
    </row>
    <row r="12" spans="2:7" x14ac:dyDescent="0.3">
      <c r="B12" s="80" t="s">
        <v>9</v>
      </c>
      <c r="C12" s="81"/>
      <c r="D12" s="81"/>
      <c r="E12" s="81"/>
      <c r="F12" s="81"/>
      <c r="G12" s="9"/>
    </row>
    <row r="13" spans="2:7" ht="15" thickBot="1" x14ac:dyDescent="0.35">
      <c r="B13" s="71" t="s">
        <v>10</v>
      </c>
      <c r="C13" s="72"/>
      <c r="D13" s="72"/>
      <c r="E13" s="72"/>
      <c r="F13" s="72"/>
      <c r="G13" s="10"/>
    </row>
    <row r="14" spans="2:7" ht="15" thickTop="1" x14ac:dyDescent="0.3">
      <c r="B14" s="2"/>
      <c r="C14" s="2"/>
      <c r="D14" s="2"/>
      <c r="E14" s="2"/>
      <c r="F14" s="2"/>
      <c r="G14" s="2"/>
    </row>
    <row r="15" spans="2:7" x14ac:dyDescent="0.3">
      <c r="B15" s="82" t="s">
        <v>11</v>
      </c>
      <c r="C15" s="82"/>
      <c r="D15" s="82"/>
      <c r="E15" s="82"/>
      <c r="F15" s="82"/>
      <c r="G15" s="82"/>
    </row>
    <row r="16" spans="2:7" x14ac:dyDescent="0.3">
      <c r="B16" s="83" t="s">
        <v>20</v>
      </c>
      <c r="C16" s="83"/>
      <c r="D16" s="83"/>
      <c r="E16" s="83"/>
      <c r="F16" s="83"/>
      <c r="G16" s="83"/>
    </row>
  </sheetData>
  <mergeCells count="7">
    <mergeCell ref="B15:G15"/>
    <mergeCell ref="B16:G16"/>
    <mergeCell ref="B2:G2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DAB7-C715-4B2E-8AEC-DAFF63AEB75C}">
  <dimension ref="B1:G16"/>
  <sheetViews>
    <sheetView workbookViewId="0">
      <selection activeCell="B9" sqref="B9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103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30</v>
      </c>
      <c r="C5" s="18">
        <v>0.89800000000000002</v>
      </c>
      <c r="D5" s="30">
        <v>4.4000000000000004</v>
      </c>
      <c r="E5" s="48">
        <v>0.06</v>
      </c>
      <c r="F5" s="29">
        <f>D5+(D5*E5)</f>
        <v>4.6640000000000006</v>
      </c>
      <c r="G5" s="32">
        <f>C5*D5</f>
        <v>3.9512000000000005</v>
      </c>
    </row>
    <row r="6" spans="2:7" x14ac:dyDescent="0.3">
      <c r="B6" s="7" t="s">
        <v>24</v>
      </c>
      <c r="C6" s="18">
        <v>0.09</v>
      </c>
      <c r="D6" s="30">
        <v>1.6</v>
      </c>
      <c r="E6" s="48">
        <v>0.06</v>
      </c>
      <c r="F6" s="29">
        <f t="shared" ref="F6:F9" si="0">D6+(D6*E6)</f>
        <v>1.6960000000000002</v>
      </c>
      <c r="G6" s="32">
        <f t="shared" ref="G6:G9" si="1">C6*D6</f>
        <v>0.14399999999999999</v>
      </c>
    </row>
    <row r="7" spans="2:7" x14ac:dyDescent="0.3">
      <c r="B7" s="7" t="s">
        <v>13</v>
      </c>
      <c r="C7" s="18">
        <v>7.0000000000000001E-3</v>
      </c>
      <c r="D7" s="30">
        <v>2.98</v>
      </c>
      <c r="E7" s="48">
        <v>0.06</v>
      </c>
      <c r="F7" s="29">
        <f t="shared" si="0"/>
        <v>3.1587999999999998</v>
      </c>
      <c r="G7" s="32">
        <f t="shared" si="1"/>
        <v>2.086E-2</v>
      </c>
    </row>
    <row r="8" spans="2:7" x14ac:dyDescent="0.3">
      <c r="B8" s="8" t="s">
        <v>23</v>
      </c>
      <c r="C8" s="18">
        <v>4.0000000000000001E-3</v>
      </c>
      <c r="D8" s="34">
        <v>1.4</v>
      </c>
      <c r="E8" s="49">
        <v>0.06</v>
      </c>
      <c r="F8" s="29">
        <f t="shared" si="0"/>
        <v>1.484</v>
      </c>
      <c r="G8" s="32">
        <f t="shared" si="1"/>
        <v>5.5999999999999999E-3</v>
      </c>
    </row>
    <row r="9" spans="2:7" ht="15" thickBot="1" x14ac:dyDescent="0.35">
      <c r="B9" s="12" t="s">
        <v>107</v>
      </c>
      <c r="C9" s="17">
        <v>2E-3</v>
      </c>
      <c r="D9" s="35">
        <v>13.87</v>
      </c>
      <c r="E9" s="50">
        <v>0.06</v>
      </c>
      <c r="F9" s="29">
        <f t="shared" si="0"/>
        <v>14.702199999999999</v>
      </c>
      <c r="G9" s="32">
        <f t="shared" si="1"/>
        <v>2.7739999999999997E-2</v>
      </c>
    </row>
    <row r="10" spans="2:7" ht="15" thickTop="1" x14ac:dyDescent="0.3">
      <c r="B10" s="76" t="s">
        <v>7</v>
      </c>
      <c r="C10" s="77"/>
      <c r="D10" s="77"/>
      <c r="E10" s="77"/>
      <c r="F10" s="77"/>
      <c r="G10" s="33">
        <f>SUM(G5:G9)</f>
        <v>4.1494</v>
      </c>
    </row>
    <row r="11" spans="2:7" x14ac:dyDescent="0.3">
      <c r="B11" s="78" t="s">
        <v>8</v>
      </c>
      <c r="C11" s="79"/>
      <c r="D11" s="79"/>
      <c r="E11" s="79"/>
      <c r="F11" s="79"/>
      <c r="G11" s="9"/>
    </row>
    <row r="12" spans="2:7" x14ac:dyDescent="0.3">
      <c r="B12" s="80" t="s">
        <v>9</v>
      </c>
      <c r="C12" s="81"/>
      <c r="D12" s="81"/>
      <c r="E12" s="81"/>
      <c r="F12" s="81"/>
      <c r="G12" s="9"/>
    </row>
    <row r="13" spans="2:7" ht="15" thickBot="1" x14ac:dyDescent="0.35">
      <c r="B13" s="71" t="s">
        <v>10</v>
      </c>
      <c r="C13" s="72"/>
      <c r="D13" s="72"/>
      <c r="E13" s="72"/>
      <c r="F13" s="72"/>
      <c r="G13" s="10"/>
    </row>
    <row r="14" spans="2:7" ht="15" thickTop="1" x14ac:dyDescent="0.3">
      <c r="B14" s="2"/>
      <c r="C14" s="2"/>
      <c r="D14" s="2"/>
      <c r="E14" s="2"/>
      <c r="F14" s="2"/>
      <c r="G14" s="2"/>
    </row>
    <row r="15" spans="2:7" x14ac:dyDescent="0.3">
      <c r="B15" s="11" t="s">
        <v>11</v>
      </c>
      <c r="C15" s="11"/>
      <c r="D15" s="11"/>
      <c r="E15" s="11"/>
      <c r="F15" s="11"/>
      <c r="G15" s="11"/>
    </row>
    <row r="16" spans="2:7" x14ac:dyDescent="0.3">
      <c r="B16" s="14" t="s">
        <v>20</v>
      </c>
      <c r="C16" s="14"/>
      <c r="D16" s="14"/>
      <c r="E16" s="14"/>
      <c r="F16" s="14"/>
      <c r="G16" s="14"/>
    </row>
  </sheetData>
  <mergeCells count="5">
    <mergeCell ref="B13:F13"/>
    <mergeCell ref="B2:G2"/>
    <mergeCell ref="B10:F10"/>
    <mergeCell ref="B11:F11"/>
    <mergeCell ref="B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834C-A6BF-4568-A2EF-722503C1F703}">
  <dimension ref="B1:G16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33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75</v>
      </c>
      <c r="C5" s="18">
        <v>0.38700000000000001</v>
      </c>
      <c r="D5" s="30">
        <v>2.4</v>
      </c>
      <c r="E5" s="48">
        <v>0.06</v>
      </c>
      <c r="F5" s="29">
        <f>D5+(D5*E5)</f>
        <v>2.544</v>
      </c>
      <c r="G5" s="32">
        <f>C5*D5</f>
        <v>0.92879999999999996</v>
      </c>
    </row>
    <row r="6" spans="2:7" x14ac:dyDescent="0.3">
      <c r="B6" s="7" t="s">
        <v>32</v>
      </c>
      <c r="C6" s="18">
        <v>0.38700000000000001</v>
      </c>
      <c r="D6" s="30">
        <v>1.1000000000000001</v>
      </c>
      <c r="E6" s="48">
        <v>0.06</v>
      </c>
      <c r="F6" s="29">
        <f t="shared" ref="F6:F9" si="0">D6+(D6*E6)</f>
        <v>1.1660000000000001</v>
      </c>
      <c r="G6" s="32">
        <f t="shared" ref="G6:G9" si="1">C6*D6</f>
        <v>0.42570000000000002</v>
      </c>
    </row>
    <row r="7" spans="2:7" x14ac:dyDescent="0.3">
      <c r="B7" s="7" t="s">
        <v>4</v>
      </c>
      <c r="C7" s="18">
        <v>0.129</v>
      </c>
      <c r="D7" s="30">
        <v>3.4</v>
      </c>
      <c r="E7" s="48">
        <v>0.06</v>
      </c>
      <c r="F7" s="29">
        <f t="shared" si="0"/>
        <v>3.6040000000000001</v>
      </c>
      <c r="G7" s="32">
        <f t="shared" si="1"/>
        <v>0.43859999999999999</v>
      </c>
    </row>
    <row r="8" spans="2:7" x14ac:dyDescent="0.3">
      <c r="B8" s="7" t="s">
        <v>23</v>
      </c>
      <c r="C8" s="18">
        <v>3.2000000000000001E-2</v>
      </c>
      <c r="D8" s="30">
        <v>1.4</v>
      </c>
      <c r="E8" s="48">
        <v>0.06</v>
      </c>
      <c r="F8" s="29">
        <f t="shared" si="0"/>
        <v>1.484</v>
      </c>
      <c r="G8" s="32">
        <f t="shared" si="1"/>
        <v>4.48E-2</v>
      </c>
    </row>
    <row r="9" spans="2:7" ht="15" thickBot="1" x14ac:dyDescent="0.35">
      <c r="B9" s="8" t="s">
        <v>31</v>
      </c>
      <c r="C9" s="17">
        <v>6.5000000000000002E-2</v>
      </c>
      <c r="D9" s="34">
        <v>3.8</v>
      </c>
      <c r="E9" s="49">
        <v>0.06</v>
      </c>
      <c r="F9" s="29">
        <f t="shared" si="0"/>
        <v>4.0279999999999996</v>
      </c>
      <c r="G9" s="32">
        <f t="shared" si="1"/>
        <v>0.247</v>
      </c>
    </row>
    <row r="10" spans="2:7" ht="15" thickTop="1" x14ac:dyDescent="0.3">
      <c r="B10" s="76" t="s">
        <v>7</v>
      </c>
      <c r="C10" s="77"/>
      <c r="D10" s="77"/>
      <c r="E10" s="77"/>
      <c r="F10" s="77"/>
      <c r="G10" s="26">
        <f>SUM(G5:G9)</f>
        <v>2.0848999999999998</v>
      </c>
    </row>
    <row r="11" spans="2:7" x14ac:dyDescent="0.3">
      <c r="B11" s="78" t="s">
        <v>8</v>
      </c>
      <c r="C11" s="79"/>
      <c r="D11" s="79"/>
      <c r="E11" s="79"/>
      <c r="F11" s="79"/>
      <c r="G11" s="9"/>
    </row>
    <row r="12" spans="2:7" x14ac:dyDescent="0.3">
      <c r="B12" s="80" t="s">
        <v>9</v>
      </c>
      <c r="C12" s="81"/>
      <c r="D12" s="81"/>
      <c r="E12" s="81"/>
      <c r="F12" s="81"/>
      <c r="G12" s="9"/>
    </row>
    <row r="13" spans="2:7" ht="15" thickBot="1" x14ac:dyDescent="0.35">
      <c r="B13" s="71" t="s">
        <v>10</v>
      </c>
      <c r="C13" s="72"/>
      <c r="D13" s="72"/>
      <c r="E13" s="72"/>
      <c r="F13" s="72"/>
      <c r="G13" s="10"/>
    </row>
    <row r="14" spans="2:7" ht="15" thickTop="1" x14ac:dyDescent="0.3">
      <c r="B14" s="2"/>
      <c r="C14" s="2"/>
      <c r="D14" s="2"/>
      <c r="E14" s="2"/>
      <c r="F14" s="2"/>
      <c r="G14" s="2"/>
    </row>
    <row r="15" spans="2:7" x14ac:dyDescent="0.3">
      <c r="B15" s="82" t="s">
        <v>11</v>
      </c>
      <c r="C15" s="82"/>
      <c r="D15" s="82"/>
      <c r="E15" s="82"/>
      <c r="F15" s="82"/>
      <c r="G15" s="82"/>
    </row>
    <row r="16" spans="2:7" x14ac:dyDescent="0.3">
      <c r="B16" s="83" t="s">
        <v>20</v>
      </c>
      <c r="C16" s="83"/>
      <c r="D16" s="83"/>
      <c r="E16" s="83"/>
      <c r="F16" s="83"/>
      <c r="G16" s="83"/>
    </row>
  </sheetData>
  <mergeCells count="7">
    <mergeCell ref="B13:F13"/>
    <mergeCell ref="B15:G15"/>
    <mergeCell ref="B16:G16"/>
    <mergeCell ref="B2:G2"/>
    <mergeCell ref="B10:F10"/>
    <mergeCell ref="B11:F11"/>
    <mergeCell ref="B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E77E-C234-430D-A303-CF0B799FF5F0}">
  <dimension ref="B1:G16"/>
  <sheetViews>
    <sheetView workbookViewId="0">
      <selection activeCell="B2" sqref="B2:G2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111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14</v>
      </c>
      <c r="C5" s="21">
        <v>0.75</v>
      </c>
      <c r="D5" s="27">
        <v>0.8</v>
      </c>
      <c r="E5" s="60">
        <v>0.06</v>
      </c>
      <c r="F5" s="28">
        <f>D5+(D5*E5)</f>
        <v>0.84800000000000009</v>
      </c>
      <c r="G5" s="45">
        <f>D5*C5</f>
        <v>0.60000000000000009</v>
      </c>
    </row>
    <row r="6" spans="2:7" x14ac:dyDescent="0.3">
      <c r="B6" s="19" t="s">
        <v>13</v>
      </c>
      <c r="C6" s="21">
        <v>0.08</v>
      </c>
      <c r="D6" s="27">
        <v>2.98</v>
      </c>
      <c r="E6" s="60">
        <v>0.06</v>
      </c>
      <c r="F6" s="28">
        <f t="shared" ref="F6:F9" si="0">D6+(D6*E6)</f>
        <v>3.1587999999999998</v>
      </c>
      <c r="G6" s="45">
        <f t="shared" ref="G6:G9" si="1">D6*C6</f>
        <v>0.2384</v>
      </c>
    </row>
    <row r="7" spans="2:7" x14ac:dyDescent="0.3">
      <c r="B7" s="19" t="s">
        <v>36</v>
      </c>
      <c r="C7" s="21">
        <v>0.12</v>
      </c>
      <c r="D7" s="27">
        <v>1.61</v>
      </c>
      <c r="E7" s="60">
        <v>0.23</v>
      </c>
      <c r="F7" s="28">
        <f t="shared" si="0"/>
        <v>1.9803000000000002</v>
      </c>
      <c r="G7" s="45">
        <f t="shared" si="1"/>
        <v>0.19320000000000001</v>
      </c>
    </row>
    <row r="8" spans="2:7" x14ac:dyDescent="0.3">
      <c r="B8" s="19" t="s">
        <v>23</v>
      </c>
      <c r="C8" s="21">
        <v>0.02</v>
      </c>
      <c r="D8" s="27">
        <v>1.4</v>
      </c>
      <c r="E8" s="60">
        <v>0.06</v>
      </c>
      <c r="F8" s="28">
        <f t="shared" si="0"/>
        <v>1.484</v>
      </c>
      <c r="G8" s="45">
        <f t="shared" si="1"/>
        <v>2.7999999999999997E-2</v>
      </c>
    </row>
    <row r="9" spans="2:7" ht="15" thickBot="1" x14ac:dyDescent="0.35">
      <c r="B9" s="7" t="s">
        <v>37</v>
      </c>
      <c r="C9" s="18">
        <v>0.02</v>
      </c>
      <c r="D9" s="30">
        <v>0.76600000000000001</v>
      </c>
      <c r="E9" s="48">
        <v>0.06</v>
      </c>
      <c r="F9" s="28">
        <f t="shared" si="0"/>
        <v>0.81196000000000002</v>
      </c>
      <c r="G9" s="45">
        <f t="shared" si="1"/>
        <v>1.532E-2</v>
      </c>
    </row>
    <row r="10" spans="2:7" ht="15" thickTop="1" x14ac:dyDescent="0.3">
      <c r="B10" s="76" t="s">
        <v>7</v>
      </c>
      <c r="C10" s="77"/>
      <c r="D10" s="77"/>
      <c r="E10" s="77"/>
      <c r="F10" s="77"/>
      <c r="G10" s="26">
        <f>SUM(G5:G9)</f>
        <v>1.0749200000000001</v>
      </c>
    </row>
    <row r="11" spans="2:7" x14ac:dyDescent="0.3">
      <c r="B11" s="78" t="s">
        <v>8</v>
      </c>
      <c r="C11" s="79"/>
      <c r="D11" s="79"/>
      <c r="E11" s="79"/>
      <c r="F11" s="79"/>
      <c r="G11" s="9"/>
    </row>
    <row r="12" spans="2:7" x14ac:dyDescent="0.3">
      <c r="B12" s="80" t="s">
        <v>9</v>
      </c>
      <c r="C12" s="81"/>
      <c r="D12" s="81"/>
      <c r="E12" s="81"/>
      <c r="F12" s="81"/>
      <c r="G12" s="9"/>
    </row>
    <row r="13" spans="2:7" ht="15" thickBot="1" x14ac:dyDescent="0.35">
      <c r="B13" s="71" t="s">
        <v>10</v>
      </c>
      <c r="C13" s="72"/>
      <c r="D13" s="72"/>
      <c r="E13" s="72"/>
      <c r="F13" s="72"/>
      <c r="G13" s="10"/>
    </row>
    <row r="14" spans="2:7" ht="15" thickTop="1" x14ac:dyDescent="0.3">
      <c r="B14" s="2"/>
      <c r="C14" s="2"/>
      <c r="D14" s="2"/>
      <c r="E14" s="2"/>
      <c r="F14" s="2"/>
      <c r="G14" s="2"/>
    </row>
    <row r="15" spans="2:7" x14ac:dyDescent="0.3">
      <c r="B15" s="82" t="s">
        <v>11</v>
      </c>
      <c r="C15" s="82"/>
      <c r="D15" s="82"/>
      <c r="E15" s="82"/>
      <c r="F15" s="82"/>
      <c r="G15" s="82"/>
    </row>
    <row r="16" spans="2:7" x14ac:dyDescent="0.3">
      <c r="B16" s="83" t="s">
        <v>20</v>
      </c>
      <c r="C16" s="83"/>
      <c r="D16" s="83"/>
      <c r="E16" s="83"/>
      <c r="F16" s="83"/>
      <c r="G16" s="83"/>
    </row>
  </sheetData>
  <mergeCells count="7">
    <mergeCell ref="B13:F13"/>
    <mergeCell ref="B15:G15"/>
    <mergeCell ref="B16:G16"/>
    <mergeCell ref="B2:G2"/>
    <mergeCell ref="B10:F10"/>
    <mergeCell ref="B11:F11"/>
    <mergeCell ref="B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A45A-0792-4EFA-A4E9-E222F8493DC7}">
  <dimension ref="B1:G16"/>
  <sheetViews>
    <sheetView workbookViewId="0">
      <selection activeCell="C5" sqref="C5:C9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110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41</v>
      </c>
      <c r="C5" s="21">
        <v>0.9</v>
      </c>
      <c r="D5" s="27">
        <v>3.8</v>
      </c>
      <c r="E5" s="60">
        <v>0.06</v>
      </c>
      <c r="F5" s="28">
        <f>D5+(D5*E5)</f>
        <v>4.0279999999999996</v>
      </c>
      <c r="G5" s="45">
        <f>D5*C5</f>
        <v>3.42</v>
      </c>
    </row>
    <row r="6" spans="2:7" x14ac:dyDescent="0.3">
      <c r="B6" s="19" t="s">
        <v>13</v>
      </c>
      <c r="C6" s="21">
        <v>7.0000000000000007E-2</v>
      </c>
      <c r="D6" s="27">
        <v>2.98</v>
      </c>
      <c r="E6" s="60">
        <v>0.06</v>
      </c>
      <c r="F6" s="28">
        <f t="shared" ref="F6:F9" si="0">D6+(D6*E6)</f>
        <v>3.1587999999999998</v>
      </c>
      <c r="G6" s="45">
        <f t="shared" ref="G6:G9" si="1">D6*C6</f>
        <v>0.20860000000000001</v>
      </c>
    </row>
    <row r="7" spans="2:7" x14ac:dyDescent="0.3">
      <c r="B7" s="19" t="s">
        <v>6</v>
      </c>
      <c r="C7" s="21">
        <v>1.4999999999999999E-2</v>
      </c>
      <c r="D7" s="27">
        <v>0.315</v>
      </c>
      <c r="E7" s="60">
        <v>0.06</v>
      </c>
      <c r="F7" s="28">
        <f t="shared" si="0"/>
        <v>0.33389999999999997</v>
      </c>
      <c r="G7" s="45">
        <f t="shared" si="1"/>
        <v>4.725E-3</v>
      </c>
    </row>
    <row r="8" spans="2:7" x14ac:dyDescent="0.3">
      <c r="B8" s="19" t="s">
        <v>107</v>
      </c>
      <c r="C8" s="21">
        <v>8.0000000000000002E-3</v>
      </c>
      <c r="D8" s="27">
        <v>13.87</v>
      </c>
      <c r="E8" s="60">
        <v>0.06</v>
      </c>
      <c r="F8" s="28">
        <f t="shared" si="0"/>
        <v>14.702199999999999</v>
      </c>
      <c r="G8" s="45">
        <f t="shared" si="1"/>
        <v>0.11095999999999999</v>
      </c>
    </row>
    <row r="9" spans="2:7" ht="15" thickBot="1" x14ac:dyDescent="0.35">
      <c r="B9" s="7" t="s">
        <v>35</v>
      </c>
      <c r="C9" s="18">
        <v>8.0000000000000002E-3</v>
      </c>
      <c r="D9" s="30">
        <v>13</v>
      </c>
      <c r="E9" s="48">
        <v>0.06</v>
      </c>
      <c r="F9" s="28">
        <f t="shared" si="0"/>
        <v>13.78</v>
      </c>
      <c r="G9" s="45">
        <f t="shared" si="1"/>
        <v>0.10400000000000001</v>
      </c>
    </row>
    <row r="10" spans="2:7" ht="15" thickTop="1" x14ac:dyDescent="0.3">
      <c r="B10" s="76" t="s">
        <v>7</v>
      </c>
      <c r="C10" s="77"/>
      <c r="D10" s="77"/>
      <c r="E10" s="77"/>
      <c r="F10" s="77"/>
      <c r="G10" s="26">
        <f>SUM(G5:G9)</f>
        <v>3.8482850000000002</v>
      </c>
    </row>
    <row r="11" spans="2:7" x14ac:dyDescent="0.3">
      <c r="B11" s="78" t="s">
        <v>8</v>
      </c>
      <c r="C11" s="79"/>
      <c r="D11" s="79"/>
      <c r="E11" s="79"/>
      <c r="F11" s="79"/>
      <c r="G11" s="9"/>
    </row>
    <row r="12" spans="2:7" x14ac:dyDescent="0.3">
      <c r="B12" s="80" t="s">
        <v>9</v>
      </c>
      <c r="C12" s="81"/>
      <c r="D12" s="81"/>
      <c r="E12" s="81"/>
      <c r="F12" s="81"/>
      <c r="G12" s="9"/>
    </row>
    <row r="13" spans="2:7" ht="15" thickBot="1" x14ac:dyDescent="0.35">
      <c r="B13" s="71" t="s">
        <v>10</v>
      </c>
      <c r="C13" s="72"/>
      <c r="D13" s="72"/>
      <c r="E13" s="72"/>
      <c r="F13" s="72"/>
      <c r="G13" s="10"/>
    </row>
    <row r="14" spans="2:7" ht="15" thickTop="1" x14ac:dyDescent="0.3">
      <c r="B14" s="2"/>
      <c r="C14" s="2"/>
      <c r="D14" s="2"/>
      <c r="E14" s="2"/>
      <c r="F14" s="2"/>
      <c r="G14" s="2"/>
    </row>
    <row r="15" spans="2:7" x14ac:dyDescent="0.3">
      <c r="B15" s="82" t="s">
        <v>11</v>
      </c>
      <c r="C15" s="82"/>
      <c r="D15" s="82"/>
      <c r="E15" s="82"/>
      <c r="F15" s="82"/>
      <c r="G15" s="82"/>
    </row>
    <row r="16" spans="2:7" x14ac:dyDescent="0.3">
      <c r="B16" s="83" t="s">
        <v>20</v>
      </c>
      <c r="C16" s="83"/>
      <c r="D16" s="83"/>
      <c r="E16" s="83"/>
      <c r="F16" s="83"/>
      <c r="G16" s="83"/>
    </row>
  </sheetData>
  <mergeCells count="7">
    <mergeCell ref="B13:F13"/>
    <mergeCell ref="B15:G15"/>
    <mergeCell ref="B16:G16"/>
    <mergeCell ref="B2:G2"/>
    <mergeCell ref="B10:F10"/>
    <mergeCell ref="B11:F11"/>
    <mergeCell ref="B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6E16-A0BE-4643-83CF-85D1A8CCEEC9}">
  <dimension ref="B1:G18"/>
  <sheetViews>
    <sheetView workbookViewId="0">
      <selection activeCell="O18" sqref="O18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104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91</v>
      </c>
      <c r="C5" s="21">
        <v>0.2</v>
      </c>
      <c r="D5" s="27">
        <v>6.01</v>
      </c>
      <c r="E5" s="60">
        <v>0.06</v>
      </c>
      <c r="F5" s="29">
        <f>D5+(D5*E5)</f>
        <v>6.3705999999999996</v>
      </c>
      <c r="G5" s="45">
        <f>D5*C5</f>
        <v>1.202</v>
      </c>
    </row>
    <row r="6" spans="2:7" x14ac:dyDescent="0.3">
      <c r="B6" s="19" t="s">
        <v>92</v>
      </c>
      <c r="C6" s="21">
        <v>0.1</v>
      </c>
      <c r="D6" s="27">
        <v>10.72</v>
      </c>
      <c r="E6" s="60">
        <v>0.06</v>
      </c>
      <c r="F6" s="29">
        <f t="shared" ref="F6:F11" si="0">D6+(D6*E6)</f>
        <v>11.363200000000001</v>
      </c>
      <c r="G6" s="45">
        <f t="shared" ref="G6:G11" si="1">D6*C6</f>
        <v>1.0720000000000001</v>
      </c>
    </row>
    <row r="7" spans="2:7" x14ac:dyDescent="0.3">
      <c r="B7" s="19" t="s">
        <v>72</v>
      </c>
      <c r="C7" s="21">
        <v>0.2</v>
      </c>
      <c r="D7" s="27">
        <v>1.07</v>
      </c>
      <c r="E7" s="60">
        <v>0.23</v>
      </c>
      <c r="F7" s="29">
        <f t="shared" si="0"/>
        <v>1.3161</v>
      </c>
      <c r="G7" s="45">
        <f t="shared" si="1"/>
        <v>0.21400000000000002</v>
      </c>
    </row>
    <row r="8" spans="2:7" x14ac:dyDescent="0.3">
      <c r="B8" s="19" t="s">
        <v>93</v>
      </c>
      <c r="C8" s="21">
        <v>0.4</v>
      </c>
      <c r="D8" s="27">
        <v>4.0190000000000001</v>
      </c>
      <c r="E8" s="60">
        <v>0.06</v>
      </c>
      <c r="F8" s="29">
        <f t="shared" si="0"/>
        <v>4.2601399999999998</v>
      </c>
      <c r="G8" s="45">
        <f t="shared" si="1"/>
        <v>1.6076000000000001</v>
      </c>
    </row>
    <row r="9" spans="2:7" x14ac:dyDescent="0.3">
      <c r="B9" s="19" t="s">
        <v>36</v>
      </c>
      <c r="C9" s="21">
        <v>0.08</v>
      </c>
      <c r="D9" s="27">
        <v>1.61</v>
      </c>
      <c r="E9" s="60">
        <v>0.23</v>
      </c>
      <c r="F9" s="29">
        <f t="shared" si="0"/>
        <v>1.9803000000000002</v>
      </c>
      <c r="G9" s="45">
        <f t="shared" si="1"/>
        <v>0.1288</v>
      </c>
    </row>
    <row r="10" spans="2:7" x14ac:dyDescent="0.3">
      <c r="B10" s="19" t="s">
        <v>13</v>
      </c>
      <c r="C10" s="21">
        <v>0.01</v>
      </c>
      <c r="D10" s="27">
        <v>2.98</v>
      </c>
      <c r="E10" s="60">
        <v>0.06</v>
      </c>
      <c r="F10" s="29">
        <f t="shared" si="0"/>
        <v>3.1587999999999998</v>
      </c>
      <c r="G10" s="45">
        <f t="shared" si="1"/>
        <v>2.98E-2</v>
      </c>
    </row>
    <row r="11" spans="2:7" ht="15" thickBot="1" x14ac:dyDescent="0.35">
      <c r="B11" s="19" t="s">
        <v>6</v>
      </c>
      <c r="C11" s="21">
        <v>8.0000000000000002E-3</v>
      </c>
      <c r="D11" s="27">
        <v>0.315</v>
      </c>
      <c r="E11" s="60">
        <v>0.06</v>
      </c>
      <c r="F11" s="29">
        <f t="shared" si="0"/>
        <v>0.33389999999999997</v>
      </c>
      <c r="G11" s="45">
        <f t="shared" si="1"/>
        <v>2.5200000000000001E-3</v>
      </c>
    </row>
    <row r="12" spans="2:7" ht="15" thickTop="1" x14ac:dyDescent="0.3">
      <c r="B12" s="76" t="s">
        <v>7</v>
      </c>
      <c r="C12" s="77"/>
      <c r="D12" s="77"/>
      <c r="E12" s="77"/>
      <c r="F12" s="77"/>
      <c r="G12" s="26">
        <f>SUM(G5:G11)</f>
        <v>4.2567199999999996</v>
      </c>
    </row>
    <row r="13" spans="2:7" x14ac:dyDescent="0.3">
      <c r="B13" s="78" t="s">
        <v>8</v>
      </c>
      <c r="C13" s="79"/>
      <c r="D13" s="79"/>
      <c r="E13" s="79"/>
      <c r="F13" s="79"/>
      <c r="G13" s="9"/>
    </row>
    <row r="14" spans="2:7" x14ac:dyDescent="0.3">
      <c r="B14" s="80" t="s">
        <v>9</v>
      </c>
      <c r="C14" s="81"/>
      <c r="D14" s="81"/>
      <c r="E14" s="81"/>
      <c r="F14" s="81"/>
      <c r="G14" s="9"/>
    </row>
    <row r="15" spans="2:7" ht="15" thickBot="1" x14ac:dyDescent="0.35">
      <c r="B15" s="71" t="s">
        <v>10</v>
      </c>
      <c r="C15" s="72"/>
      <c r="D15" s="72"/>
      <c r="E15" s="72"/>
      <c r="F15" s="72"/>
      <c r="G15" s="10"/>
    </row>
    <row r="16" spans="2:7" ht="15" thickTop="1" x14ac:dyDescent="0.3">
      <c r="B16" s="2"/>
      <c r="C16" s="2"/>
      <c r="D16" s="2"/>
      <c r="E16" s="2"/>
      <c r="F16" s="2"/>
      <c r="G16" s="2"/>
    </row>
    <row r="17" spans="2:7" x14ac:dyDescent="0.3">
      <c r="B17" s="82" t="s">
        <v>11</v>
      </c>
      <c r="C17" s="82"/>
      <c r="D17" s="82"/>
      <c r="E17" s="82"/>
      <c r="F17" s="82"/>
      <c r="G17" s="82"/>
    </row>
    <row r="18" spans="2:7" x14ac:dyDescent="0.3">
      <c r="B18" s="83" t="s">
        <v>20</v>
      </c>
      <c r="C18" s="83"/>
      <c r="D18" s="83"/>
      <c r="E18" s="83"/>
      <c r="F18" s="83"/>
      <c r="G18" s="83"/>
    </row>
  </sheetData>
  <mergeCells count="7">
    <mergeCell ref="B15:F15"/>
    <mergeCell ref="B17:G17"/>
    <mergeCell ref="B18:G18"/>
    <mergeCell ref="B2:G2"/>
    <mergeCell ref="B12:F12"/>
    <mergeCell ref="B13:F13"/>
    <mergeCell ref="B14:F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C0DE-BF13-4AA1-A522-F5FC7A576F48}">
  <dimension ref="B1:G18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108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53</v>
      </c>
      <c r="C5" s="20">
        <v>0.32400000000000001</v>
      </c>
      <c r="D5" s="27">
        <v>9.09</v>
      </c>
      <c r="E5" s="60">
        <v>0.06</v>
      </c>
      <c r="F5" s="29">
        <f>D5+(D5*E5)</f>
        <v>9.6354000000000006</v>
      </c>
      <c r="G5" s="45">
        <f>D5*C5</f>
        <v>2.94516</v>
      </c>
    </row>
    <row r="6" spans="2:7" x14ac:dyDescent="0.3">
      <c r="B6" s="19" t="s">
        <v>30</v>
      </c>
      <c r="C6" s="20">
        <v>0.216</v>
      </c>
      <c r="D6" s="27">
        <v>4.4000000000000004</v>
      </c>
      <c r="E6" s="60">
        <v>0.06</v>
      </c>
      <c r="F6" s="29">
        <f t="shared" ref="F6:F11" si="0">D6+(D6*E6)</f>
        <v>4.6640000000000006</v>
      </c>
      <c r="G6" s="45">
        <f t="shared" ref="G6:G11" si="1">D6*C6</f>
        <v>0.95040000000000002</v>
      </c>
    </row>
    <row r="7" spans="2:7" x14ac:dyDescent="0.3">
      <c r="B7" s="19" t="s">
        <v>105</v>
      </c>
      <c r="C7" s="20">
        <v>0.16200000000000001</v>
      </c>
      <c r="D7" s="27">
        <v>1.29</v>
      </c>
      <c r="E7" s="60">
        <v>0.06</v>
      </c>
      <c r="F7" s="29">
        <f t="shared" si="0"/>
        <v>1.3673999999999999</v>
      </c>
      <c r="G7" s="45">
        <f t="shared" si="1"/>
        <v>0.20898</v>
      </c>
    </row>
    <row r="8" spans="2:7" x14ac:dyDescent="0.3">
      <c r="B8" s="19" t="s">
        <v>106</v>
      </c>
      <c r="C8" s="20">
        <v>2E-3</v>
      </c>
      <c r="D8" s="27">
        <v>8</v>
      </c>
      <c r="E8" s="60">
        <v>0.23</v>
      </c>
      <c r="F8" s="29">
        <f t="shared" si="0"/>
        <v>9.84</v>
      </c>
      <c r="G8" s="45">
        <f t="shared" si="1"/>
        <v>1.6E-2</v>
      </c>
    </row>
    <row r="9" spans="2:7" x14ac:dyDescent="0.3">
      <c r="B9" s="19" t="s">
        <v>13</v>
      </c>
      <c r="C9" s="20">
        <v>0.27</v>
      </c>
      <c r="D9" s="27">
        <v>2.98</v>
      </c>
      <c r="E9" s="60">
        <v>0.06</v>
      </c>
      <c r="F9" s="29">
        <f t="shared" si="0"/>
        <v>3.1587999999999998</v>
      </c>
      <c r="G9" s="45">
        <f t="shared" si="1"/>
        <v>0.80460000000000009</v>
      </c>
    </row>
    <row r="10" spans="2:7" x14ac:dyDescent="0.3">
      <c r="B10" s="19" t="s">
        <v>23</v>
      </c>
      <c r="C10" s="20">
        <v>1.0999999999999999E-2</v>
      </c>
      <c r="D10" s="27">
        <v>1.4</v>
      </c>
      <c r="E10" s="60">
        <v>0.06</v>
      </c>
      <c r="F10" s="29">
        <f t="shared" si="0"/>
        <v>1.484</v>
      </c>
      <c r="G10" s="45">
        <f t="shared" si="1"/>
        <v>1.5399999999999999E-2</v>
      </c>
    </row>
    <row r="11" spans="2:7" ht="15" thickBot="1" x14ac:dyDescent="0.35">
      <c r="B11" s="7" t="s">
        <v>74</v>
      </c>
      <c r="C11" s="16">
        <v>1.6E-2</v>
      </c>
      <c r="D11" s="30">
        <v>5.38</v>
      </c>
      <c r="E11" s="48">
        <v>0.06</v>
      </c>
      <c r="F11" s="29">
        <f t="shared" si="0"/>
        <v>5.7027999999999999</v>
      </c>
      <c r="G11" s="45">
        <f t="shared" si="1"/>
        <v>8.6080000000000004E-2</v>
      </c>
    </row>
    <row r="12" spans="2:7" ht="15" thickTop="1" x14ac:dyDescent="0.3">
      <c r="B12" s="76" t="s">
        <v>7</v>
      </c>
      <c r="C12" s="77"/>
      <c r="D12" s="77"/>
      <c r="E12" s="77"/>
      <c r="F12" s="77"/>
      <c r="G12" s="26">
        <f>SUM(G5:G11)</f>
        <v>5.0266199999999994</v>
      </c>
    </row>
    <row r="13" spans="2:7" x14ac:dyDescent="0.3">
      <c r="B13" s="78" t="s">
        <v>8</v>
      </c>
      <c r="C13" s="79"/>
      <c r="D13" s="79"/>
      <c r="E13" s="79"/>
      <c r="F13" s="79"/>
      <c r="G13" s="9"/>
    </row>
    <row r="14" spans="2:7" x14ac:dyDescent="0.3">
      <c r="B14" s="80" t="s">
        <v>9</v>
      </c>
      <c r="C14" s="81"/>
      <c r="D14" s="81"/>
      <c r="E14" s="81"/>
      <c r="F14" s="81"/>
      <c r="G14" s="9"/>
    </row>
    <row r="15" spans="2:7" ht="15" thickBot="1" x14ac:dyDescent="0.35">
      <c r="B15" s="71" t="s">
        <v>10</v>
      </c>
      <c r="C15" s="72"/>
      <c r="D15" s="72"/>
      <c r="E15" s="72"/>
      <c r="F15" s="72"/>
      <c r="G15" s="10"/>
    </row>
    <row r="16" spans="2:7" ht="15" thickTop="1" x14ac:dyDescent="0.3">
      <c r="B16" s="2"/>
      <c r="C16" s="2"/>
      <c r="D16" s="2"/>
      <c r="E16" s="2"/>
      <c r="F16" s="2"/>
      <c r="G16" s="2"/>
    </row>
    <row r="17" spans="2:7" x14ac:dyDescent="0.3">
      <c r="B17" s="82" t="s">
        <v>11</v>
      </c>
      <c r="C17" s="82"/>
      <c r="D17" s="82"/>
      <c r="E17" s="82"/>
      <c r="F17" s="82"/>
      <c r="G17" s="82"/>
    </row>
    <row r="18" spans="2:7" x14ac:dyDescent="0.3">
      <c r="B18" s="83" t="s">
        <v>20</v>
      </c>
      <c r="C18" s="83"/>
      <c r="D18" s="83"/>
      <c r="E18" s="83"/>
      <c r="F18" s="83"/>
      <c r="G18" s="83"/>
    </row>
  </sheetData>
  <mergeCells count="7">
    <mergeCell ref="B15:F15"/>
    <mergeCell ref="B17:G17"/>
    <mergeCell ref="B18:G18"/>
    <mergeCell ref="B2:G2"/>
    <mergeCell ref="B12:F12"/>
    <mergeCell ref="B13:F13"/>
    <mergeCell ref="B14:F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CE1F-C991-4556-A9EB-8010BED099DF}">
  <dimension ref="B1:G17"/>
  <sheetViews>
    <sheetView workbookViewId="0">
      <selection activeCell="C24" sqref="C24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71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69</v>
      </c>
      <c r="C5" s="70">
        <v>0.61</v>
      </c>
      <c r="D5" s="27">
        <v>5.9</v>
      </c>
      <c r="E5" s="61">
        <v>0.06</v>
      </c>
      <c r="F5" s="29">
        <f>D5+(D5*E5)</f>
        <v>6.2540000000000004</v>
      </c>
      <c r="G5" s="45">
        <f>D5*C5</f>
        <v>3.5990000000000002</v>
      </c>
    </row>
    <row r="6" spans="2:7" x14ac:dyDescent="0.3">
      <c r="B6" s="19" t="s">
        <v>25</v>
      </c>
      <c r="C6" s="70">
        <v>0.37</v>
      </c>
      <c r="D6" s="27">
        <v>2.16</v>
      </c>
      <c r="E6" s="61">
        <v>0.23</v>
      </c>
      <c r="F6" s="29">
        <f t="shared" ref="F6:F10" si="0">D6+(D6*E6)</f>
        <v>2.6568000000000001</v>
      </c>
      <c r="G6" s="45">
        <f t="shared" ref="G6:G10" si="1">D6*C6</f>
        <v>0.79920000000000002</v>
      </c>
    </row>
    <row r="7" spans="2:7" x14ac:dyDescent="0.3">
      <c r="B7" s="19" t="s">
        <v>67</v>
      </c>
      <c r="C7" s="70">
        <v>0.01</v>
      </c>
      <c r="D7" s="27">
        <v>3.49</v>
      </c>
      <c r="E7" s="61">
        <v>0.23</v>
      </c>
      <c r="F7" s="29">
        <f t="shared" si="0"/>
        <v>4.2927</v>
      </c>
      <c r="G7" s="45">
        <f t="shared" si="1"/>
        <v>3.49E-2</v>
      </c>
    </row>
    <row r="8" spans="2:7" x14ac:dyDescent="0.3">
      <c r="B8" s="19" t="s">
        <v>68</v>
      </c>
      <c r="C8" s="20">
        <v>1E-3</v>
      </c>
      <c r="D8" s="27">
        <v>2.8</v>
      </c>
      <c r="E8" s="61">
        <v>0.06</v>
      </c>
      <c r="F8" s="29">
        <f t="shared" si="0"/>
        <v>2.968</v>
      </c>
      <c r="G8" s="45">
        <f t="shared" si="1"/>
        <v>2.8E-3</v>
      </c>
    </row>
    <row r="9" spans="2:7" x14ac:dyDescent="0.3">
      <c r="B9" s="19" t="s">
        <v>23</v>
      </c>
      <c r="C9" s="20">
        <v>3.0000000000000001E-3</v>
      </c>
      <c r="D9" s="27">
        <v>1.4</v>
      </c>
      <c r="E9" s="61">
        <v>0.06</v>
      </c>
      <c r="F9" s="29">
        <f t="shared" si="0"/>
        <v>1.484</v>
      </c>
      <c r="G9" s="45">
        <f t="shared" si="1"/>
        <v>4.1999999999999997E-3</v>
      </c>
    </row>
    <row r="10" spans="2:7" ht="15" thickBot="1" x14ac:dyDescent="0.35">
      <c r="B10" s="19" t="s">
        <v>107</v>
      </c>
      <c r="C10" s="20">
        <v>3.0000000000000001E-3</v>
      </c>
      <c r="D10" s="27">
        <v>13.87</v>
      </c>
      <c r="E10" s="61">
        <v>0.06</v>
      </c>
      <c r="F10" s="29">
        <f t="shared" si="0"/>
        <v>14.702199999999999</v>
      </c>
      <c r="G10" s="45">
        <f t="shared" si="1"/>
        <v>4.1610000000000001E-2</v>
      </c>
    </row>
    <row r="11" spans="2:7" ht="15" thickTop="1" x14ac:dyDescent="0.3">
      <c r="B11" s="76" t="s">
        <v>7</v>
      </c>
      <c r="C11" s="77"/>
      <c r="D11" s="77"/>
      <c r="E11" s="77"/>
      <c r="F11" s="77"/>
      <c r="G11" s="26">
        <f>SUM(G5:G10)</f>
        <v>4.4817100000000005</v>
      </c>
    </row>
    <row r="12" spans="2:7" x14ac:dyDescent="0.3">
      <c r="B12" s="78" t="s">
        <v>8</v>
      </c>
      <c r="C12" s="79"/>
      <c r="D12" s="79"/>
      <c r="E12" s="79"/>
      <c r="F12" s="79"/>
      <c r="G12" s="9"/>
    </row>
    <row r="13" spans="2:7" x14ac:dyDescent="0.3">
      <c r="B13" s="80" t="s">
        <v>9</v>
      </c>
      <c r="C13" s="81"/>
      <c r="D13" s="81"/>
      <c r="E13" s="81"/>
      <c r="F13" s="81"/>
      <c r="G13" s="9"/>
    </row>
    <row r="14" spans="2:7" ht="15" thickBot="1" x14ac:dyDescent="0.35">
      <c r="B14" s="71" t="s">
        <v>10</v>
      </c>
      <c r="C14" s="72"/>
      <c r="D14" s="72"/>
      <c r="E14" s="72"/>
      <c r="F14" s="72"/>
      <c r="G14" s="10"/>
    </row>
    <row r="15" spans="2:7" ht="15" thickTop="1" x14ac:dyDescent="0.3">
      <c r="B15" s="2"/>
      <c r="C15" s="2"/>
      <c r="D15" s="2"/>
      <c r="E15" s="2"/>
      <c r="F15" s="2"/>
      <c r="G15" s="2"/>
    </row>
    <row r="16" spans="2:7" x14ac:dyDescent="0.3">
      <c r="B16" s="82" t="s">
        <v>11</v>
      </c>
      <c r="C16" s="82"/>
      <c r="D16" s="82"/>
      <c r="E16" s="82"/>
      <c r="F16" s="82"/>
      <c r="G16" s="82"/>
    </row>
    <row r="17" spans="2:7" x14ac:dyDescent="0.3">
      <c r="B17" s="83" t="s">
        <v>20</v>
      </c>
      <c r="C17" s="83"/>
      <c r="D17" s="83"/>
      <c r="E17" s="83"/>
      <c r="F17" s="83"/>
      <c r="G17" s="83"/>
    </row>
  </sheetData>
  <mergeCells count="7">
    <mergeCell ref="B2:G2"/>
    <mergeCell ref="B11:F11"/>
    <mergeCell ref="B12:F12"/>
    <mergeCell ref="B16:G16"/>
    <mergeCell ref="B17:G17"/>
    <mergeCell ref="B13:F13"/>
    <mergeCell ref="B14:F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ED0B-C2A3-4DB6-8E01-31C7292097F6}">
  <dimension ref="B1:G17"/>
  <sheetViews>
    <sheetView workbookViewId="0">
      <selection activeCell="J6" sqref="J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70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25</v>
      </c>
      <c r="C5" s="70">
        <v>0.55000000000000004</v>
      </c>
      <c r="D5" s="27">
        <v>2.16</v>
      </c>
      <c r="E5" s="61">
        <v>0.23</v>
      </c>
      <c r="F5" s="29">
        <f>D5+(D5*E5)</f>
        <v>2.6568000000000001</v>
      </c>
      <c r="G5" s="45">
        <f>D5*C5</f>
        <v>1.1880000000000002</v>
      </c>
    </row>
    <row r="6" spans="2:7" x14ac:dyDescent="0.3">
      <c r="B6" s="19" t="s">
        <v>116</v>
      </c>
      <c r="C6" s="70">
        <v>0.41</v>
      </c>
      <c r="D6" s="27">
        <v>6.5943396226415096</v>
      </c>
      <c r="E6" s="61">
        <v>0.06</v>
      </c>
      <c r="F6" s="29">
        <f t="shared" ref="F6:F10" si="0">D6+(D6*E6)</f>
        <v>6.99</v>
      </c>
      <c r="G6" s="45">
        <f t="shared" ref="G6:G10" si="1">D6*C6</f>
        <v>2.703679245283019</v>
      </c>
    </row>
    <row r="7" spans="2:7" x14ac:dyDescent="0.3">
      <c r="B7" s="19" t="s">
        <v>67</v>
      </c>
      <c r="C7" s="70">
        <v>0.02</v>
      </c>
      <c r="D7" s="27">
        <v>3.49</v>
      </c>
      <c r="E7" s="61">
        <v>0.23</v>
      </c>
      <c r="F7" s="29">
        <f t="shared" si="0"/>
        <v>4.2927</v>
      </c>
      <c r="G7" s="45">
        <f t="shared" si="1"/>
        <v>6.9800000000000001E-2</v>
      </c>
    </row>
    <row r="8" spans="2:7" x14ac:dyDescent="0.3">
      <c r="B8" s="19" t="s">
        <v>68</v>
      </c>
      <c r="C8" s="70">
        <v>6.0000000000000001E-3</v>
      </c>
      <c r="D8" s="27">
        <v>2.8</v>
      </c>
      <c r="E8" s="61">
        <v>0.06</v>
      </c>
      <c r="F8" s="29">
        <f t="shared" si="0"/>
        <v>2.968</v>
      </c>
      <c r="G8" s="45">
        <f t="shared" si="1"/>
        <v>1.6799999999999999E-2</v>
      </c>
    </row>
    <row r="9" spans="2:7" x14ac:dyDescent="0.3">
      <c r="B9" s="19" t="s">
        <v>23</v>
      </c>
      <c r="C9" s="70">
        <v>6.0000000000000001E-3</v>
      </c>
      <c r="D9" s="27">
        <v>1.4</v>
      </c>
      <c r="E9" s="61">
        <v>0.06</v>
      </c>
      <c r="F9" s="29">
        <f t="shared" si="0"/>
        <v>1.484</v>
      </c>
      <c r="G9" s="45">
        <f t="shared" si="1"/>
        <v>8.3999999999999995E-3</v>
      </c>
    </row>
    <row r="10" spans="2:7" ht="15" thickBot="1" x14ac:dyDescent="0.35">
      <c r="B10" s="19" t="s">
        <v>107</v>
      </c>
      <c r="C10" s="70">
        <v>3.0000000000000001E-3</v>
      </c>
      <c r="D10" s="27">
        <v>13.87</v>
      </c>
      <c r="E10" s="61">
        <v>0.06</v>
      </c>
      <c r="F10" s="29">
        <f t="shared" si="0"/>
        <v>14.702199999999999</v>
      </c>
      <c r="G10" s="45">
        <f t="shared" si="1"/>
        <v>4.1610000000000001E-2</v>
      </c>
    </row>
    <row r="11" spans="2:7" ht="15" thickTop="1" x14ac:dyDescent="0.3">
      <c r="B11" s="76" t="s">
        <v>7</v>
      </c>
      <c r="C11" s="77"/>
      <c r="D11" s="77"/>
      <c r="E11" s="77"/>
      <c r="F11" s="77"/>
      <c r="G11" s="26">
        <f>SUM(G5:G10)</f>
        <v>4.0282892452830188</v>
      </c>
    </row>
    <row r="12" spans="2:7" x14ac:dyDescent="0.3">
      <c r="B12" s="78" t="s">
        <v>8</v>
      </c>
      <c r="C12" s="79"/>
      <c r="D12" s="79"/>
      <c r="E12" s="79"/>
      <c r="F12" s="79"/>
      <c r="G12" s="9"/>
    </row>
    <row r="13" spans="2:7" x14ac:dyDescent="0.3">
      <c r="B13" s="80" t="s">
        <v>9</v>
      </c>
      <c r="C13" s="81"/>
      <c r="D13" s="81"/>
      <c r="E13" s="81"/>
      <c r="F13" s="81"/>
      <c r="G13" s="9"/>
    </row>
    <row r="14" spans="2:7" ht="15" thickBot="1" x14ac:dyDescent="0.35">
      <c r="B14" s="71" t="s">
        <v>10</v>
      </c>
      <c r="C14" s="72"/>
      <c r="D14" s="72"/>
      <c r="E14" s="72"/>
      <c r="F14" s="72"/>
      <c r="G14" s="10"/>
    </row>
    <row r="15" spans="2:7" ht="15" thickTop="1" x14ac:dyDescent="0.3">
      <c r="B15" s="2"/>
      <c r="C15" s="2"/>
      <c r="D15" s="2"/>
      <c r="E15" s="2"/>
      <c r="F15" s="2"/>
      <c r="G15" s="2"/>
    </row>
    <row r="16" spans="2:7" x14ac:dyDescent="0.3">
      <c r="B16" s="82" t="s">
        <v>11</v>
      </c>
      <c r="C16" s="82"/>
      <c r="D16" s="82"/>
      <c r="E16" s="82"/>
      <c r="F16" s="82"/>
      <c r="G16" s="82"/>
    </row>
    <row r="17" spans="2:7" x14ac:dyDescent="0.3">
      <c r="B17" s="83" t="s">
        <v>20</v>
      </c>
      <c r="C17" s="83"/>
      <c r="D17" s="83"/>
      <c r="E17" s="83"/>
      <c r="F17" s="83"/>
      <c r="G17" s="83"/>
    </row>
  </sheetData>
  <mergeCells count="7">
    <mergeCell ref="B2:G2"/>
    <mergeCell ref="B11:F11"/>
    <mergeCell ref="B12:F12"/>
    <mergeCell ref="B16:G16"/>
    <mergeCell ref="B17:G17"/>
    <mergeCell ref="B13:F13"/>
    <mergeCell ref="B14:F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8EE1-A16B-47EF-BAE3-BD3AD4AC9FD9}">
  <dimension ref="B1:G19"/>
  <sheetViews>
    <sheetView workbookViewId="0">
      <selection activeCell="B2" sqref="B2:G2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115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72</v>
      </c>
      <c r="C5" s="20">
        <v>0.56599999999999995</v>
      </c>
      <c r="D5" s="27">
        <v>1.07</v>
      </c>
      <c r="E5" s="60">
        <v>0.23</v>
      </c>
      <c r="F5" s="28">
        <f>D5+(D5*E5)</f>
        <v>1.3161</v>
      </c>
      <c r="G5" s="45">
        <f>D5*C5</f>
        <v>0.60561999999999994</v>
      </c>
    </row>
    <row r="6" spans="2:7" x14ac:dyDescent="0.3">
      <c r="B6" s="19" t="s">
        <v>13</v>
      </c>
      <c r="C6" s="20">
        <v>0.19800000000000001</v>
      </c>
      <c r="D6" s="27">
        <v>2.98</v>
      </c>
      <c r="E6" s="60">
        <v>0.06</v>
      </c>
      <c r="F6" s="28">
        <f t="shared" ref="F6:F12" si="0">D6+(D6*E6)</f>
        <v>3.1587999999999998</v>
      </c>
      <c r="G6" s="45">
        <f t="shared" ref="G6:G12" si="1">D6*C6</f>
        <v>0.59004000000000001</v>
      </c>
    </row>
    <row r="7" spans="2:7" x14ac:dyDescent="0.3">
      <c r="B7" s="19" t="s">
        <v>73</v>
      </c>
      <c r="C7" s="20">
        <v>0.113</v>
      </c>
      <c r="D7" s="27"/>
      <c r="E7" s="60"/>
      <c r="F7" s="28">
        <f t="shared" si="0"/>
        <v>0</v>
      </c>
      <c r="G7" s="45">
        <f t="shared" si="1"/>
        <v>0</v>
      </c>
    </row>
    <row r="8" spans="2:7" x14ac:dyDescent="0.3">
      <c r="B8" s="19" t="s">
        <v>106</v>
      </c>
      <c r="C8" s="20">
        <v>1E-3</v>
      </c>
      <c r="D8" s="27">
        <v>8</v>
      </c>
      <c r="E8" s="60">
        <v>0.23</v>
      </c>
      <c r="F8" s="28">
        <f t="shared" si="0"/>
        <v>9.84</v>
      </c>
      <c r="G8" s="45">
        <f t="shared" si="1"/>
        <v>8.0000000000000002E-3</v>
      </c>
    </row>
    <row r="9" spans="2:7" x14ac:dyDescent="0.3">
      <c r="B9" s="19" t="s">
        <v>74</v>
      </c>
      <c r="C9" s="20">
        <v>6.0000000000000001E-3</v>
      </c>
      <c r="D9" s="27">
        <v>5.38</v>
      </c>
      <c r="E9" s="60">
        <v>0.06</v>
      </c>
      <c r="F9" s="28">
        <f t="shared" si="0"/>
        <v>5.7027999999999999</v>
      </c>
      <c r="G9" s="45">
        <f t="shared" si="1"/>
        <v>3.2280000000000003E-2</v>
      </c>
    </row>
    <row r="10" spans="2:7" x14ac:dyDescent="0.3">
      <c r="B10" s="19" t="s">
        <v>23</v>
      </c>
      <c r="C10" s="20">
        <v>1.7000000000000001E-2</v>
      </c>
      <c r="D10" s="27">
        <v>1.4</v>
      </c>
      <c r="E10" s="60">
        <v>0.06</v>
      </c>
      <c r="F10" s="28">
        <f t="shared" si="0"/>
        <v>1.484</v>
      </c>
      <c r="G10" s="45">
        <f t="shared" si="1"/>
        <v>2.3800000000000002E-2</v>
      </c>
    </row>
    <row r="11" spans="2:7" x14ac:dyDescent="0.3">
      <c r="B11" s="19" t="s">
        <v>12</v>
      </c>
      <c r="C11" s="20">
        <v>8.5000000000000006E-2</v>
      </c>
      <c r="D11" s="27" t="s">
        <v>66</v>
      </c>
      <c r="E11" s="60" t="s">
        <v>66</v>
      </c>
      <c r="F11" s="28" t="s">
        <v>66</v>
      </c>
      <c r="G11" s="45" t="s">
        <v>66</v>
      </c>
    </row>
    <row r="12" spans="2:7" ht="15" thickBot="1" x14ac:dyDescent="0.35">
      <c r="B12" s="19" t="s">
        <v>24</v>
      </c>
      <c r="C12" s="20">
        <v>1.4E-2</v>
      </c>
      <c r="D12" s="27">
        <v>1.6</v>
      </c>
      <c r="E12" s="60">
        <v>0.06</v>
      </c>
      <c r="F12" s="62">
        <f t="shared" si="0"/>
        <v>1.6960000000000002</v>
      </c>
      <c r="G12" s="45">
        <f t="shared" si="1"/>
        <v>2.2400000000000003E-2</v>
      </c>
    </row>
    <row r="13" spans="2:7" ht="15" thickTop="1" x14ac:dyDescent="0.3">
      <c r="B13" s="76" t="s">
        <v>7</v>
      </c>
      <c r="C13" s="77"/>
      <c r="D13" s="77"/>
      <c r="E13" s="77"/>
      <c r="F13" s="77"/>
      <c r="G13" s="26">
        <f>SUM(G5:G12)</f>
        <v>1.2821400000000001</v>
      </c>
    </row>
    <row r="14" spans="2:7" x14ac:dyDescent="0.3">
      <c r="B14" s="78" t="s">
        <v>8</v>
      </c>
      <c r="C14" s="79"/>
      <c r="D14" s="79"/>
      <c r="E14" s="79"/>
      <c r="F14" s="79"/>
      <c r="G14" s="9"/>
    </row>
    <row r="15" spans="2:7" x14ac:dyDescent="0.3">
      <c r="B15" s="80" t="s">
        <v>9</v>
      </c>
      <c r="C15" s="81"/>
      <c r="D15" s="81"/>
      <c r="E15" s="81"/>
      <c r="F15" s="81"/>
      <c r="G15" s="9"/>
    </row>
    <row r="16" spans="2:7" ht="15" thickBot="1" x14ac:dyDescent="0.35">
      <c r="B16" s="71" t="s">
        <v>10</v>
      </c>
      <c r="C16" s="72"/>
      <c r="D16" s="72"/>
      <c r="E16" s="72"/>
      <c r="F16" s="72"/>
      <c r="G16" s="10"/>
    </row>
    <row r="17" spans="2:7" ht="15" thickTop="1" x14ac:dyDescent="0.3">
      <c r="B17" s="2"/>
      <c r="C17" s="2"/>
      <c r="D17" s="2"/>
      <c r="E17" s="2"/>
      <c r="F17" s="2"/>
      <c r="G17" s="2"/>
    </row>
    <row r="18" spans="2:7" x14ac:dyDescent="0.3">
      <c r="B18" s="82" t="s">
        <v>11</v>
      </c>
      <c r="C18" s="82"/>
      <c r="D18" s="82"/>
      <c r="E18" s="82"/>
      <c r="F18" s="82"/>
      <c r="G18" s="82"/>
    </row>
    <row r="19" spans="2:7" x14ac:dyDescent="0.3">
      <c r="B19" s="83" t="s">
        <v>20</v>
      </c>
      <c r="C19" s="83"/>
      <c r="D19" s="83"/>
      <c r="E19" s="83"/>
      <c r="F19" s="83"/>
      <c r="G19" s="83"/>
    </row>
  </sheetData>
  <mergeCells count="7">
    <mergeCell ref="B2:G2"/>
    <mergeCell ref="B13:F13"/>
    <mergeCell ref="B14:F14"/>
    <mergeCell ref="B18:G18"/>
    <mergeCell ref="B19:G19"/>
    <mergeCell ref="B15:F15"/>
    <mergeCell ref="B16:F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F89D-ECED-4539-97BD-8ABCA7C62EA3}">
  <dimension ref="B1:G20"/>
  <sheetViews>
    <sheetView workbookViewId="0">
      <selection activeCell="K15" sqref="K15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65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52</v>
      </c>
      <c r="C5" s="20">
        <v>0.56000000000000005</v>
      </c>
      <c r="D5" s="27">
        <v>1.68</v>
      </c>
      <c r="E5" s="61">
        <v>0.06</v>
      </c>
      <c r="F5" s="28">
        <f>D5+(D5*E5)</f>
        <v>1.7807999999999999</v>
      </c>
      <c r="G5" s="45">
        <f>C5*D5</f>
        <v>0.94080000000000008</v>
      </c>
    </row>
    <row r="6" spans="2:7" x14ac:dyDescent="0.3">
      <c r="B6" s="19" t="s">
        <v>54</v>
      </c>
      <c r="C6" s="20">
        <v>0.12</v>
      </c>
      <c r="D6" s="27">
        <v>5.98</v>
      </c>
      <c r="E6" s="61">
        <v>0.06</v>
      </c>
      <c r="F6" s="28">
        <f t="shared" ref="F6:F13" si="0">D6+(D6*E6)</f>
        <v>6.3388000000000009</v>
      </c>
      <c r="G6" s="45">
        <f t="shared" ref="G6:G13" si="1">C6*D6</f>
        <v>0.71760000000000002</v>
      </c>
    </row>
    <row r="7" spans="2:7" x14ac:dyDescent="0.3">
      <c r="B7" s="19" t="s">
        <v>58</v>
      </c>
      <c r="C7" s="20">
        <v>7.0000000000000007E-2</v>
      </c>
      <c r="D7" s="27">
        <v>2.54</v>
      </c>
      <c r="E7" s="61">
        <v>0.06</v>
      </c>
      <c r="F7" s="28">
        <f t="shared" si="0"/>
        <v>2.6924000000000001</v>
      </c>
      <c r="G7" s="45">
        <f t="shared" si="1"/>
        <v>0.17780000000000001</v>
      </c>
    </row>
    <row r="8" spans="2:7" x14ac:dyDescent="0.3">
      <c r="B8" s="19" t="s">
        <v>61</v>
      </c>
      <c r="C8" s="20">
        <v>0.04</v>
      </c>
      <c r="D8" s="27">
        <v>4.8</v>
      </c>
      <c r="E8" s="61">
        <v>0.06</v>
      </c>
      <c r="F8" s="28">
        <f t="shared" si="0"/>
        <v>5.0880000000000001</v>
      </c>
      <c r="G8" s="45">
        <f t="shared" si="1"/>
        <v>0.192</v>
      </c>
    </row>
    <row r="9" spans="2:7" x14ac:dyDescent="0.3">
      <c r="B9" s="19" t="s">
        <v>62</v>
      </c>
      <c r="C9" s="20">
        <v>0.05</v>
      </c>
      <c r="D9" s="27">
        <v>2.38</v>
      </c>
      <c r="E9" s="61">
        <v>0.06</v>
      </c>
      <c r="F9" s="28">
        <f t="shared" si="0"/>
        <v>2.5227999999999997</v>
      </c>
      <c r="G9" s="45">
        <f t="shared" si="1"/>
        <v>0.11899999999999999</v>
      </c>
    </row>
    <row r="10" spans="2:7" x14ac:dyDescent="0.3">
      <c r="B10" s="19" t="s">
        <v>59</v>
      </c>
      <c r="C10" s="20">
        <v>0.04</v>
      </c>
      <c r="D10" s="27">
        <v>4.2229999999999999</v>
      </c>
      <c r="E10" s="61">
        <v>0.06</v>
      </c>
      <c r="F10" s="28">
        <f t="shared" si="0"/>
        <v>4.4763799999999998</v>
      </c>
      <c r="G10" s="45">
        <f t="shared" si="1"/>
        <v>0.16891999999999999</v>
      </c>
    </row>
    <row r="11" spans="2:7" x14ac:dyDescent="0.3">
      <c r="B11" s="19" t="s">
        <v>23</v>
      </c>
      <c r="C11" s="20">
        <v>0.01</v>
      </c>
      <c r="D11" s="27">
        <v>1.4</v>
      </c>
      <c r="E11" s="61">
        <v>0.06</v>
      </c>
      <c r="F11" s="28">
        <f t="shared" si="0"/>
        <v>1.484</v>
      </c>
      <c r="G11" s="45">
        <f t="shared" si="1"/>
        <v>1.3999999999999999E-2</v>
      </c>
    </row>
    <row r="12" spans="2:7" x14ac:dyDescent="0.3">
      <c r="B12" s="19" t="s">
        <v>63</v>
      </c>
      <c r="C12" s="20">
        <v>0.1</v>
      </c>
      <c r="D12" s="27" t="s">
        <v>66</v>
      </c>
      <c r="E12" s="42" t="s">
        <v>66</v>
      </c>
      <c r="F12" s="28" t="s">
        <v>66</v>
      </c>
      <c r="G12" s="45" t="s">
        <v>66</v>
      </c>
    </row>
    <row r="13" spans="2:7" ht="15" thickBot="1" x14ac:dyDescent="0.35">
      <c r="B13" s="19" t="s">
        <v>64</v>
      </c>
      <c r="C13" s="20">
        <v>0.01</v>
      </c>
      <c r="D13" s="27">
        <v>5.9850000000000003</v>
      </c>
      <c r="E13" s="61">
        <v>0.23</v>
      </c>
      <c r="F13" s="28">
        <f t="shared" si="0"/>
        <v>7.3615500000000003</v>
      </c>
      <c r="G13" s="45">
        <f t="shared" si="1"/>
        <v>5.9850000000000007E-2</v>
      </c>
    </row>
    <row r="14" spans="2:7" ht="15" thickTop="1" x14ac:dyDescent="0.3">
      <c r="B14" s="76" t="s">
        <v>7</v>
      </c>
      <c r="C14" s="77"/>
      <c r="D14" s="77"/>
      <c r="E14" s="77"/>
      <c r="F14" s="77"/>
      <c r="G14" s="26">
        <f>SUM(G5:G13)</f>
        <v>2.3899699999999995</v>
      </c>
    </row>
    <row r="15" spans="2:7" x14ac:dyDescent="0.3">
      <c r="B15" s="78" t="s">
        <v>8</v>
      </c>
      <c r="C15" s="79"/>
      <c r="D15" s="79"/>
      <c r="E15" s="79"/>
      <c r="F15" s="79"/>
      <c r="G15" s="9"/>
    </row>
    <row r="16" spans="2:7" x14ac:dyDescent="0.3">
      <c r="B16" s="80" t="s">
        <v>9</v>
      </c>
      <c r="C16" s="81"/>
      <c r="D16" s="81"/>
      <c r="E16" s="81"/>
      <c r="F16" s="81"/>
      <c r="G16" s="9"/>
    </row>
    <row r="17" spans="2:7" ht="15" thickBot="1" x14ac:dyDescent="0.35">
      <c r="B17" s="71" t="s">
        <v>10</v>
      </c>
      <c r="C17" s="72"/>
      <c r="D17" s="72"/>
      <c r="E17" s="72"/>
      <c r="F17" s="72"/>
      <c r="G17" s="10"/>
    </row>
    <row r="18" spans="2:7" ht="15" thickTop="1" x14ac:dyDescent="0.3">
      <c r="B18" s="2"/>
      <c r="C18" s="2"/>
      <c r="D18" s="2"/>
      <c r="E18" s="2"/>
      <c r="F18" s="2"/>
      <c r="G18" s="2"/>
    </row>
    <row r="19" spans="2:7" x14ac:dyDescent="0.3">
      <c r="B19" s="82" t="s">
        <v>11</v>
      </c>
      <c r="C19" s="82"/>
      <c r="D19" s="82"/>
      <c r="E19" s="82"/>
      <c r="F19" s="82"/>
      <c r="G19" s="82"/>
    </row>
    <row r="20" spans="2:7" x14ac:dyDescent="0.3">
      <c r="B20" s="83" t="s">
        <v>20</v>
      </c>
      <c r="C20" s="83"/>
      <c r="D20" s="83"/>
      <c r="E20" s="83"/>
      <c r="F20" s="83"/>
      <c r="G20" s="83"/>
    </row>
  </sheetData>
  <mergeCells count="7">
    <mergeCell ref="B2:G2"/>
    <mergeCell ref="B14:F14"/>
    <mergeCell ref="B15:F15"/>
    <mergeCell ref="B19:G19"/>
    <mergeCell ref="B20:G20"/>
    <mergeCell ref="B16:F16"/>
    <mergeCell ref="B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6A7F-F4A2-4693-9AAA-EAEC77FC7E9E}">
  <dimension ref="B1:G18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109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45</v>
      </c>
      <c r="C5" s="18">
        <v>0.114</v>
      </c>
      <c r="D5" s="24">
        <v>6.17</v>
      </c>
      <c r="E5" s="63">
        <v>0.23</v>
      </c>
      <c r="F5" s="28">
        <f>D5+(D5*E5)</f>
        <v>7.5891000000000002</v>
      </c>
      <c r="G5" s="32">
        <f>D5*C5</f>
        <v>0.70338000000000001</v>
      </c>
    </row>
    <row r="6" spans="2:7" x14ac:dyDescent="0.3">
      <c r="B6" s="7" t="s">
        <v>46</v>
      </c>
      <c r="C6" s="18">
        <v>5.7000000000000002E-2</v>
      </c>
      <c r="D6" s="24">
        <v>4.0199999999999996</v>
      </c>
      <c r="E6" s="63">
        <v>0.06</v>
      </c>
      <c r="F6" s="28">
        <f t="shared" ref="F6:F11" si="0">D6+(D6*E6)</f>
        <v>4.2611999999999997</v>
      </c>
      <c r="G6" s="32">
        <f t="shared" ref="G6:G11" si="1">D6*C6</f>
        <v>0.22913999999999998</v>
      </c>
    </row>
    <row r="7" spans="2:7" x14ac:dyDescent="0.3">
      <c r="B7" s="7" t="s">
        <v>13</v>
      </c>
      <c r="C7" s="18">
        <v>0.56899999999999995</v>
      </c>
      <c r="D7" s="24">
        <v>2.98</v>
      </c>
      <c r="E7" s="63">
        <v>0.06</v>
      </c>
      <c r="F7" s="28">
        <f t="shared" si="0"/>
        <v>3.1587999999999998</v>
      </c>
      <c r="G7" s="32">
        <f t="shared" si="1"/>
        <v>1.6956199999999999</v>
      </c>
    </row>
    <row r="8" spans="2:7" x14ac:dyDescent="0.3">
      <c r="B8" s="7" t="s">
        <v>34</v>
      </c>
      <c r="C8" s="18">
        <v>2.8000000000000001E-2</v>
      </c>
      <c r="D8" s="24">
        <v>1.4</v>
      </c>
      <c r="E8" s="63">
        <v>0.06</v>
      </c>
      <c r="F8" s="28">
        <f t="shared" si="0"/>
        <v>1.484</v>
      </c>
      <c r="G8" s="32">
        <f t="shared" si="1"/>
        <v>3.9199999999999999E-2</v>
      </c>
    </row>
    <row r="9" spans="2:7" x14ac:dyDescent="0.3">
      <c r="B9" s="8" t="s">
        <v>107</v>
      </c>
      <c r="C9" s="17">
        <v>5.0000000000000001E-3</v>
      </c>
      <c r="D9" s="25">
        <v>13.87</v>
      </c>
      <c r="E9" s="64">
        <v>0.06</v>
      </c>
      <c r="F9" s="28">
        <f t="shared" si="0"/>
        <v>14.702199999999999</v>
      </c>
      <c r="G9" s="32">
        <f t="shared" si="1"/>
        <v>6.9349999999999995E-2</v>
      </c>
    </row>
    <row r="10" spans="2:7" x14ac:dyDescent="0.3">
      <c r="B10" s="8" t="s">
        <v>47</v>
      </c>
      <c r="C10" s="17">
        <v>0.114</v>
      </c>
      <c r="D10" s="25">
        <v>4.78</v>
      </c>
      <c r="E10" s="64">
        <v>0.06</v>
      </c>
      <c r="F10" s="28">
        <f t="shared" si="0"/>
        <v>5.0668000000000006</v>
      </c>
      <c r="G10" s="32">
        <f t="shared" si="1"/>
        <v>0.54492000000000007</v>
      </c>
    </row>
    <row r="11" spans="2:7" ht="15" thickBot="1" x14ac:dyDescent="0.35">
      <c r="B11" s="12" t="s">
        <v>76</v>
      </c>
      <c r="C11" s="17">
        <v>0.114</v>
      </c>
      <c r="D11" s="25">
        <v>6.09</v>
      </c>
      <c r="E11" s="64">
        <v>0.23</v>
      </c>
      <c r="F11" s="28">
        <f t="shared" si="0"/>
        <v>7.4907000000000004</v>
      </c>
      <c r="G11" s="32">
        <f t="shared" si="1"/>
        <v>0.69425999999999999</v>
      </c>
    </row>
    <row r="12" spans="2:7" ht="15" thickTop="1" x14ac:dyDescent="0.3">
      <c r="B12" s="76" t="s">
        <v>7</v>
      </c>
      <c r="C12" s="77"/>
      <c r="D12" s="77"/>
      <c r="E12" s="77"/>
      <c r="F12" s="84"/>
      <c r="G12" s="26">
        <f>SUM(G5:G11)</f>
        <v>3.9758700000000005</v>
      </c>
    </row>
    <row r="13" spans="2:7" x14ac:dyDescent="0.3">
      <c r="B13" s="78" t="s">
        <v>8</v>
      </c>
      <c r="C13" s="79"/>
      <c r="D13" s="79"/>
      <c r="E13" s="79"/>
      <c r="F13" s="85"/>
      <c r="G13" s="22"/>
    </row>
    <row r="14" spans="2:7" x14ac:dyDescent="0.3">
      <c r="B14" s="80" t="s">
        <v>9</v>
      </c>
      <c r="C14" s="81"/>
      <c r="D14" s="81"/>
      <c r="E14" s="81"/>
      <c r="F14" s="86"/>
      <c r="G14" s="22"/>
    </row>
    <row r="15" spans="2:7" ht="15" thickBot="1" x14ac:dyDescent="0.35">
      <c r="B15" s="71" t="s">
        <v>10</v>
      </c>
      <c r="C15" s="72"/>
      <c r="D15" s="72"/>
      <c r="E15" s="72"/>
      <c r="F15" s="87"/>
      <c r="G15" s="10"/>
    </row>
    <row r="16" spans="2:7" ht="15" thickTop="1" x14ac:dyDescent="0.3">
      <c r="B16" s="2"/>
      <c r="C16" s="2"/>
      <c r="D16" s="2"/>
      <c r="E16" s="2"/>
      <c r="F16" s="2"/>
      <c r="G16" s="2"/>
    </row>
    <row r="17" spans="2:7" x14ac:dyDescent="0.3">
      <c r="B17" s="11" t="s">
        <v>11</v>
      </c>
      <c r="C17" s="11"/>
      <c r="D17" s="11"/>
      <c r="E17" s="11"/>
      <c r="F17" s="11"/>
      <c r="G17" s="11"/>
    </row>
    <row r="18" spans="2:7" x14ac:dyDescent="0.3">
      <c r="B18" s="14" t="s">
        <v>20</v>
      </c>
      <c r="C18" s="14"/>
      <c r="D18" s="14"/>
      <c r="E18" s="14"/>
      <c r="F18" s="14"/>
      <c r="G18" s="14"/>
    </row>
  </sheetData>
  <mergeCells count="5">
    <mergeCell ref="B2:G2"/>
    <mergeCell ref="B12:F12"/>
    <mergeCell ref="B13:F13"/>
    <mergeCell ref="B14:F14"/>
    <mergeCell ref="B15:F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4155-3736-402B-9EC6-56A1037E5F25}">
  <dimension ref="B1:G15"/>
  <sheetViews>
    <sheetView workbookViewId="0">
      <selection activeCell="G9" sqref="G9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48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77</v>
      </c>
      <c r="C5" s="18">
        <v>0.25</v>
      </c>
      <c r="D5" s="24">
        <v>0.24972253052164262</v>
      </c>
      <c r="E5" s="63">
        <v>0.06</v>
      </c>
      <c r="F5" s="24">
        <f>D5+(D5*E5)</f>
        <v>0.26470588235294118</v>
      </c>
      <c r="G5" s="32">
        <f>D5*C5</f>
        <v>6.2430632630410654E-2</v>
      </c>
    </row>
    <row r="6" spans="2:7" x14ac:dyDescent="0.3">
      <c r="B6" s="7" t="s">
        <v>13</v>
      </c>
      <c r="C6" s="18">
        <v>0.01</v>
      </c>
      <c r="D6" s="24">
        <v>2.98</v>
      </c>
      <c r="E6" s="63">
        <v>0.06</v>
      </c>
      <c r="F6" s="24">
        <f t="shared" ref="F6:F8" si="0">D6+(D6*E6)</f>
        <v>3.1587999999999998</v>
      </c>
      <c r="G6" s="32">
        <f t="shared" ref="G6:G8" si="1">D6*C6</f>
        <v>2.98E-2</v>
      </c>
    </row>
    <row r="7" spans="2:7" x14ac:dyDescent="0.3">
      <c r="B7" s="7" t="s">
        <v>107</v>
      </c>
      <c r="C7" s="18">
        <v>5.0000000000000001E-3</v>
      </c>
      <c r="D7" s="24">
        <v>13.87</v>
      </c>
      <c r="E7" s="63">
        <v>0.06</v>
      </c>
      <c r="F7" s="24">
        <f t="shared" si="0"/>
        <v>14.702199999999999</v>
      </c>
      <c r="G7" s="32">
        <f t="shared" si="1"/>
        <v>6.9349999999999995E-2</v>
      </c>
    </row>
    <row r="8" spans="2:7" ht="15" thickBot="1" x14ac:dyDescent="0.35">
      <c r="B8" s="7" t="s">
        <v>23</v>
      </c>
      <c r="C8" s="18">
        <v>5.0000000000000001E-3</v>
      </c>
      <c r="D8" s="24">
        <v>1.4</v>
      </c>
      <c r="E8" s="63">
        <v>0.06</v>
      </c>
      <c r="F8" s="24">
        <f t="shared" si="0"/>
        <v>1.484</v>
      </c>
      <c r="G8" s="32">
        <f t="shared" si="1"/>
        <v>6.9999999999999993E-3</v>
      </c>
    </row>
    <row r="9" spans="2:7" ht="15" thickTop="1" x14ac:dyDescent="0.3">
      <c r="B9" s="76" t="s">
        <v>7</v>
      </c>
      <c r="C9" s="77"/>
      <c r="D9" s="77"/>
      <c r="E9" s="77"/>
      <c r="F9" s="84"/>
      <c r="G9" s="33">
        <f>SUM(G5:G8)</f>
        <v>0.16858063263041065</v>
      </c>
    </row>
    <row r="10" spans="2:7" x14ac:dyDescent="0.3">
      <c r="B10" s="78" t="s">
        <v>8</v>
      </c>
      <c r="C10" s="79"/>
      <c r="D10" s="79"/>
      <c r="E10" s="79"/>
      <c r="F10" s="85"/>
      <c r="G10" s="9"/>
    </row>
    <row r="11" spans="2:7" x14ac:dyDescent="0.3">
      <c r="B11" s="80" t="s">
        <v>9</v>
      </c>
      <c r="C11" s="81"/>
      <c r="D11" s="81"/>
      <c r="E11" s="81"/>
      <c r="F11" s="86"/>
      <c r="G11" s="9"/>
    </row>
    <row r="12" spans="2:7" ht="15" thickBot="1" x14ac:dyDescent="0.35">
      <c r="B12" s="71" t="s">
        <v>10</v>
      </c>
      <c r="C12" s="72"/>
      <c r="D12" s="72"/>
      <c r="E12" s="72"/>
      <c r="F12" s="87"/>
      <c r="G12" s="10"/>
    </row>
    <row r="13" spans="2:7" ht="15" thickTop="1" x14ac:dyDescent="0.3">
      <c r="B13" s="2"/>
      <c r="C13" s="2"/>
      <c r="D13" s="2"/>
      <c r="E13" s="2"/>
      <c r="F13" s="2"/>
      <c r="G13" s="2"/>
    </row>
    <row r="14" spans="2:7" x14ac:dyDescent="0.3">
      <c r="B14" s="82" t="s">
        <v>11</v>
      </c>
      <c r="C14" s="82"/>
      <c r="D14" s="82"/>
      <c r="E14" s="82"/>
      <c r="F14" s="82"/>
      <c r="G14" s="82"/>
    </row>
    <row r="15" spans="2:7" x14ac:dyDescent="0.3">
      <c r="B15" s="83" t="s">
        <v>20</v>
      </c>
      <c r="C15" s="83"/>
      <c r="D15" s="83"/>
      <c r="E15" s="83"/>
      <c r="F15" s="83"/>
      <c r="G15" s="83"/>
    </row>
  </sheetData>
  <mergeCells count="7">
    <mergeCell ref="B12:F12"/>
    <mergeCell ref="B14:G14"/>
    <mergeCell ref="B15:G15"/>
    <mergeCell ref="B2:G2"/>
    <mergeCell ref="B9:F9"/>
    <mergeCell ref="B10:F10"/>
    <mergeCell ref="B11:F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4D3C-FFDB-4DDC-9EBF-A5C09DF7F2F2}">
  <dimension ref="B1:G26"/>
  <sheetViews>
    <sheetView workbookViewId="0">
      <selection activeCell="A16" sqref="A16:XFD1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102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7" t="s">
        <v>52</v>
      </c>
      <c r="C5" s="18">
        <v>0.60799999999999998</v>
      </c>
      <c r="D5" s="24">
        <v>1.68</v>
      </c>
      <c r="E5" s="65">
        <v>0.06</v>
      </c>
      <c r="F5" s="24">
        <f>D5+(D5*E5)</f>
        <v>1.7807999999999999</v>
      </c>
      <c r="G5" s="32">
        <f>D5*C5</f>
        <v>1.0214399999999999</v>
      </c>
    </row>
    <row r="6" spans="2:7" x14ac:dyDescent="0.3">
      <c r="B6" s="7" t="s">
        <v>53</v>
      </c>
      <c r="C6" s="18">
        <v>6.0999999999999999E-2</v>
      </c>
      <c r="D6" s="24">
        <v>9.09</v>
      </c>
      <c r="E6" s="65">
        <v>0.06</v>
      </c>
      <c r="F6" s="24">
        <f t="shared" ref="F6:F18" si="0">D6+(D6*E6)</f>
        <v>9.6354000000000006</v>
      </c>
      <c r="G6" s="32">
        <f t="shared" ref="G6:G19" si="1">D6*C6</f>
        <v>0.55448999999999993</v>
      </c>
    </row>
    <row r="7" spans="2:7" x14ac:dyDescent="0.3">
      <c r="B7" s="7" t="s">
        <v>54</v>
      </c>
      <c r="C7" s="18">
        <v>3.6999999999999998E-2</v>
      </c>
      <c r="D7" s="24">
        <v>5.98</v>
      </c>
      <c r="E7" s="65">
        <v>0.06</v>
      </c>
      <c r="F7" s="24">
        <f t="shared" si="0"/>
        <v>6.3388000000000009</v>
      </c>
      <c r="G7" s="32">
        <f t="shared" si="1"/>
        <v>0.22126000000000001</v>
      </c>
    </row>
    <row r="8" spans="2:7" x14ac:dyDescent="0.3">
      <c r="B8" s="7" t="s">
        <v>55</v>
      </c>
      <c r="C8" s="18">
        <v>3.6999999999999998E-2</v>
      </c>
      <c r="D8" s="24">
        <v>8.9779999999999998</v>
      </c>
      <c r="E8" s="65">
        <v>0.23</v>
      </c>
      <c r="F8" s="24">
        <f t="shared" si="0"/>
        <v>11.04294</v>
      </c>
      <c r="G8" s="32">
        <f t="shared" si="1"/>
        <v>0.33218599999999998</v>
      </c>
    </row>
    <row r="9" spans="2:7" x14ac:dyDescent="0.3">
      <c r="B9" s="8" t="s">
        <v>56</v>
      </c>
      <c r="C9" s="17">
        <v>6.0999999999999999E-2</v>
      </c>
      <c r="D9" s="25">
        <v>3.42</v>
      </c>
      <c r="E9" s="66">
        <v>0.23</v>
      </c>
      <c r="F9" s="24">
        <f t="shared" si="0"/>
        <v>4.2065999999999999</v>
      </c>
      <c r="G9" s="32">
        <f t="shared" si="1"/>
        <v>0.20862</v>
      </c>
    </row>
    <row r="10" spans="2:7" x14ac:dyDescent="0.3">
      <c r="B10" s="12" t="s">
        <v>57</v>
      </c>
      <c r="C10" s="17">
        <v>6.0999999999999999E-2</v>
      </c>
      <c r="D10" s="25">
        <v>7.79</v>
      </c>
      <c r="E10" s="66">
        <v>0.06</v>
      </c>
      <c r="F10" s="24">
        <f t="shared" si="0"/>
        <v>8.2574000000000005</v>
      </c>
      <c r="G10" s="32">
        <f t="shared" si="1"/>
        <v>0.47519</v>
      </c>
    </row>
    <row r="11" spans="2:7" x14ac:dyDescent="0.3">
      <c r="B11" s="12" t="s">
        <v>58</v>
      </c>
      <c r="C11" s="17">
        <v>3.6999999999999998E-2</v>
      </c>
      <c r="D11" s="25">
        <v>2.54</v>
      </c>
      <c r="E11" s="66">
        <v>0.06</v>
      </c>
      <c r="F11" s="24">
        <f t="shared" si="0"/>
        <v>2.6924000000000001</v>
      </c>
      <c r="G11" s="32">
        <f t="shared" si="1"/>
        <v>9.3979999999999994E-2</v>
      </c>
    </row>
    <row r="12" spans="2:7" x14ac:dyDescent="0.3">
      <c r="B12" s="15" t="s">
        <v>46</v>
      </c>
      <c r="C12" s="40">
        <v>7.2999999999999995E-2</v>
      </c>
      <c r="D12" s="43">
        <v>4.0199999999999996</v>
      </c>
      <c r="E12" s="67">
        <v>0.06</v>
      </c>
      <c r="F12" s="24">
        <f t="shared" si="0"/>
        <v>4.2611999999999997</v>
      </c>
      <c r="G12" s="32">
        <f t="shared" si="1"/>
        <v>0.29345999999999994</v>
      </c>
    </row>
    <row r="13" spans="2:7" x14ac:dyDescent="0.3">
      <c r="B13" s="15" t="s">
        <v>98</v>
      </c>
      <c r="C13" s="40">
        <v>2.4E-2</v>
      </c>
      <c r="D13" s="43">
        <v>13.32</v>
      </c>
      <c r="E13" s="67">
        <v>0.06</v>
      </c>
      <c r="F13" s="24">
        <f t="shared" si="0"/>
        <v>14.119200000000001</v>
      </c>
      <c r="G13" s="32">
        <f t="shared" si="1"/>
        <v>0.31968000000000002</v>
      </c>
    </row>
    <row r="14" spans="2:7" x14ac:dyDescent="0.3">
      <c r="B14" s="15" t="s">
        <v>97</v>
      </c>
      <c r="C14" s="40">
        <v>4.9000000000000002E-2</v>
      </c>
      <c r="D14" s="43">
        <v>1.8</v>
      </c>
      <c r="E14" s="67">
        <v>0.06</v>
      </c>
      <c r="F14" s="24">
        <f t="shared" si="0"/>
        <v>1.9080000000000001</v>
      </c>
      <c r="G14" s="32">
        <f t="shared" si="1"/>
        <v>8.8200000000000001E-2</v>
      </c>
    </row>
    <row r="15" spans="2:7" x14ac:dyDescent="0.3">
      <c r="B15" s="15" t="s">
        <v>117</v>
      </c>
      <c r="C15" s="40">
        <v>3.5999999999999997E-2</v>
      </c>
      <c r="D15" s="43">
        <v>6.8159999999999998</v>
      </c>
      <c r="E15" s="67">
        <v>0.23</v>
      </c>
      <c r="F15" s="24">
        <f t="shared" si="0"/>
        <v>8.38368</v>
      </c>
      <c r="G15" s="32">
        <f t="shared" si="1"/>
        <v>0.24537599999999998</v>
      </c>
    </row>
    <row r="16" spans="2:7" x14ac:dyDescent="0.3">
      <c r="B16" s="15" t="s">
        <v>59</v>
      </c>
      <c r="C16" s="40">
        <v>2.4E-2</v>
      </c>
      <c r="D16" s="43">
        <v>4.2229999999999999</v>
      </c>
      <c r="E16" s="67">
        <v>0.06</v>
      </c>
      <c r="F16" s="24">
        <f t="shared" si="0"/>
        <v>4.4763799999999998</v>
      </c>
      <c r="G16" s="32">
        <f t="shared" si="1"/>
        <v>0.101352</v>
      </c>
    </row>
    <row r="17" spans="2:7" x14ac:dyDescent="0.3">
      <c r="B17" s="15" t="s">
        <v>60</v>
      </c>
      <c r="C17" s="40">
        <v>2.4E-2</v>
      </c>
      <c r="D17" s="43">
        <v>4.8</v>
      </c>
      <c r="E17" s="67">
        <v>0.06</v>
      </c>
      <c r="F17" s="24">
        <f t="shared" si="0"/>
        <v>5.0880000000000001</v>
      </c>
      <c r="G17" s="32">
        <f t="shared" si="1"/>
        <v>0.1152</v>
      </c>
    </row>
    <row r="18" spans="2:7" x14ac:dyDescent="0.3">
      <c r="B18" s="15" t="s">
        <v>23</v>
      </c>
      <c r="C18" s="40">
        <v>3.0000000000000001E-3</v>
      </c>
      <c r="D18" s="43">
        <v>1.4</v>
      </c>
      <c r="E18" s="67">
        <v>0.06</v>
      </c>
      <c r="F18" s="24">
        <f t="shared" si="0"/>
        <v>1.484</v>
      </c>
      <c r="G18" s="32">
        <f t="shared" si="1"/>
        <v>4.1999999999999997E-3</v>
      </c>
    </row>
    <row r="19" spans="2:7" ht="15" thickBot="1" x14ac:dyDescent="0.35">
      <c r="B19" s="13" t="s">
        <v>47</v>
      </c>
      <c r="C19" s="41">
        <v>0.06</v>
      </c>
      <c r="D19" s="44">
        <v>4.78</v>
      </c>
      <c r="E19" s="68">
        <v>0.06</v>
      </c>
      <c r="F19" s="24">
        <f>D19+(D19*E19)</f>
        <v>5.0668000000000006</v>
      </c>
      <c r="G19" s="32">
        <f t="shared" si="1"/>
        <v>0.2868</v>
      </c>
    </row>
    <row r="20" spans="2:7" ht="15" thickTop="1" x14ac:dyDescent="0.3">
      <c r="B20" s="76" t="s">
        <v>7</v>
      </c>
      <c r="C20" s="77"/>
      <c r="D20" s="77"/>
      <c r="E20" s="77"/>
      <c r="F20" s="77"/>
      <c r="G20" s="26">
        <f>SUM(G5:G19)</f>
        <v>4.361434</v>
      </c>
    </row>
    <row r="21" spans="2:7" x14ac:dyDescent="0.3">
      <c r="B21" s="78" t="s">
        <v>8</v>
      </c>
      <c r="C21" s="79"/>
      <c r="D21" s="79"/>
      <c r="E21" s="79"/>
      <c r="F21" s="79"/>
      <c r="G21" s="9"/>
    </row>
    <row r="22" spans="2:7" x14ac:dyDescent="0.3">
      <c r="B22" s="80" t="s">
        <v>9</v>
      </c>
      <c r="C22" s="81"/>
      <c r="D22" s="81"/>
      <c r="E22" s="81"/>
      <c r="F22" s="81"/>
      <c r="G22" s="9"/>
    </row>
    <row r="23" spans="2:7" ht="15" thickBot="1" x14ac:dyDescent="0.35">
      <c r="B23" s="71" t="s">
        <v>10</v>
      </c>
      <c r="C23" s="72"/>
      <c r="D23" s="72"/>
      <c r="E23" s="72"/>
      <c r="F23" s="72"/>
      <c r="G23" s="10"/>
    </row>
    <row r="24" spans="2:7" ht="15" thickTop="1" x14ac:dyDescent="0.3">
      <c r="B24" s="2"/>
      <c r="C24" s="2"/>
      <c r="D24" s="2"/>
      <c r="E24" s="2"/>
      <c r="F24" s="2"/>
      <c r="G24" s="2"/>
    </row>
    <row r="25" spans="2:7" x14ac:dyDescent="0.3">
      <c r="B25" s="82" t="s">
        <v>11</v>
      </c>
      <c r="C25" s="82"/>
      <c r="D25" s="82"/>
      <c r="E25" s="82"/>
      <c r="F25" s="82"/>
      <c r="G25" s="82"/>
    </row>
    <row r="26" spans="2:7" x14ac:dyDescent="0.3">
      <c r="B26" s="83" t="s">
        <v>20</v>
      </c>
      <c r="C26" s="83"/>
      <c r="D26" s="83"/>
      <c r="E26" s="83"/>
      <c r="F26" s="83"/>
      <c r="G26" s="83"/>
    </row>
  </sheetData>
  <mergeCells count="7">
    <mergeCell ref="B23:F23"/>
    <mergeCell ref="B25:G25"/>
    <mergeCell ref="B26:G26"/>
    <mergeCell ref="B2:G2"/>
    <mergeCell ref="B20:F20"/>
    <mergeCell ref="B21:F21"/>
    <mergeCell ref="B22:F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D798-24E7-4DE9-A6BE-474273EB47A5}">
  <dimension ref="B1:G19"/>
  <sheetViews>
    <sheetView workbookViewId="0">
      <selection activeCell="O6" sqref="O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112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51</v>
      </c>
      <c r="C5" s="21">
        <v>0.68799999999999994</v>
      </c>
      <c r="D5" s="23">
        <v>3.2959999999999998</v>
      </c>
      <c r="E5" s="69">
        <v>0.06</v>
      </c>
      <c r="F5" s="24">
        <f>D5+(D5*E5)</f>
        <v>3.49376</v>
      </c>
      <c r="G5" s="45">
        <f>D5*C5</f>
        <v>2.2676479999999999</v>
      </c>
    </row>
    <row r="6" spans="2:7" x14ac:dyDescent="0.3">
      <c r="B6" s="7" t="s">
        <v>49</v>
      </c>
      <c r="C6" s="18">
        <v>0.11</v>
      </c>
      <c r="D6" s="24">
        <v>0.99</v>
      </c>
      <c r="E6" s="65">
        <v>0.06</v>
      </c>
      <c r="F6" s="24">
        <f t="shared" ref="F6:F12" si="0">D6+(D6*E6)</f>
        <v>1.0493999999999999</v>
      </c>
      <c r="G6" s="45">
        <f>D6*C6</f>
        <v>0.1089</v>
      </c>
    </row>
    <row r="7" spans="2:7" x14ac:dyDescent="0.3">
      <c r="B7" s="7" t="s">
        <v>6</v>
      </c>
      <c r="C7" s="18">
        <v>2.1999999999999999E-2</v>
      </c>
      <c r="D7" s="24">
        <v>0.315</v>
      </c>
      <c r="E7" s="65">
        <v>0.06</v>
      </c>
      <c r="F7" s="24">
        <f t="shared" si="0"/>
        <v>0.33389999999999997</v>
      </c>
      <c r="G7" s="45">
        <f t="shared" ref="G7:G12" si="1">D7*C7</f>
        <v>6.9299999999999995E-3</v>
      </c>
    </row>
    <row r="8" spans="2:7" x14ac:dyDescent="0.3">
      <c r="B8" s="7" t="s">
        <v>107</v>
      </c>
      <c r="C8" s="18">
        <v>1E-3</v>
      </c>
      <c r="D8" s="24">
        <v>13.87</v>
      </c>
      <c r="E8" s="65">
        <v>0.06</v>
      </c>
      <c r="F8" s="24">
        <f t="shared" si="0"/>
        <v>14.702199999999999</v>
      </c>
      <c r="G8" s="45">
        <f t="shared" si="1"/>
        <v>1.3869999999999999E-2</v>
      </c>
    </row>
    <row r="9" spans="2:7" x14ac:dyDescent="0.3">
      <c r="B9" s="7" t="s">
        <v>5</v>
      </c>
      <c r="C9" s="18">
        <v>6.0000000000000001E-3</v>
      </c>
      <c r="D9" s="24">
        <v>3.49</v>
      </c>
      <c r="E9" s="65">
        <v>0.23</v>
      </c>
      <c r="F9" s="24">
        <f t="shared" si="0"/>
        <v>4.2927</v>
      </c>
      <c r="G9" s="45">
        <f t="shared" si="1"/>
        <v>2.094E-2</v>
      </c>
    </row>
    <row r="10" spans="2:7" x14ac:dyDescent="0.3">
      <c r="B10" s="8" t="s">
        <v>24</v>
      </c>
      <c r="C10" s="17">
        <v>1.9E-2</v>
      </c>
      <c r="D10" s="25">
        <v>1.6</v>
      </c>
      <c r="E10" s="66">
        <v>0.06</v>
      </c>
      <c r="F10" s="24">
        <f t="shared" si="0"/>
        <v>1.6960000000000002</v>
      </c>
      <c r="G10" s="45">
        <f t="shared" si="1"/>
        <v>3.04E-2</v>
      </c>
    </row>
    <row r="11" spans="2:7" x14ac:dyDescent="0.3">
      <c r="B11" s="12" t="s">
        <v>13</v>
      </c>
      <c r="C11" s="17">
        <v>8.0000000000000002E-3</v>
      </c>
      <c r="D11" s="25">
        <v>2.98</v>
      </c>
      <c r="E11" s="66">
        <v>0.06</v>
      </c>
      <c r="F11" s="24">
        <f t="shared" si="0"/>
        <v>3.1587999999999998</v>
      </c>
      <c r="G11" s="45">
        <f t="shared" si="1"/>
        <v>2.384E-2</v>
      </c>
    </row>
    <row r="12" spans="2:7" ht="15" thickBot="1" x14ac:dyDescent="0.35">
      <c r="B12" s="12" t="s">
        <v>50</v>
      </c>
      <c r="C12" s="17">
        <v>0.14000000000000001</v>
      </c>
      <c r="D12" s="25">
        <v>0.72799999999999998</v>
      </c>
      <c r="E12" s="66">
        <v>0.06</v>
      </c>
      <c r="F12" s="24">
        <f t="shared" si="0"/>
        <v>0.77167999999999992</v>
      </c>
      <c r="G12" s="45">
        <f t="shared" si="1"/>
        <v>0.10192000000000001</v>
      </c>
    </row>
    <row r="13" spans="2:7" ht="15" thickTop="1" x14ac:dyDescent="0.3">
      <c r="B13" s="76" t="s">
        <v>7</v>
      </c>
      <c r="C13" s="77"/>
      <c r="D13" s="77"/>
      <c r="E13" s="77"/>
      <c r="F13" s="77"/>
      <c r="G13" s="33">
        <f>SUM(G5:G12)</f>
        <v>2.5744479999999994</v>
      </c>
    </row>
    <row r="14" spans="2:7" x14ac:dyDescent="0.3">
      <c r="B14" s="78" t="s">
        <v>8</v>
      </c>
      <c r="C14" s="79"/>
      <c r="D14" s="79"/>
      <c r="E14" s="79"/>
      <c r="F14" s="79"/>
      <c r="G14" s="9"/>
    </row>
    <row r="15" spans="2:7" x14ac:dyDescent="0.3">
      <c r="B15" s="80" t="s">
        <v>9</v>
      </c>
      <c r="C15" s="81"/>
      <c r="D15" s="81"/>
      <c r="E15" s="81"/>
      <c r="F15" s="81"/>
      <c r="G15" s="9"/>
    </row>
    <row r="16" spans="2:7" ht="15" thickBot="1" x14ac:dyDescent="0.35">
      <c r="B16" s="71" t="s">
        <v>10</v>
      </c>
      <c r="C16" s="72"/>
      <c r="D16" s="72"/>
      <c r="E16" s="72"/>
      <c r="F16" s="72"/>
      <c r="G16" s="10"/>
    </row>
    <row r="17" spans="2:7" ht="15" thickTop="1" x14ac:dyDescent="0.3">
      <c r="B17" s="2"/>
      <c r="C17" s="2"/>
      <c r="D17" s="2"/>
      <c r="E17" s="2"/>
      <c r="F17" s="2"/>
      <c r="G17" s="2"/>
    </row>
    <row r="18" spans="2:7" x14ac:dyDescent="0.3">
      <c r="B18" s="82" t="s">
        <v>11</v>
      </c>
      <c r="C18" s="82"/>
      <c r="D18" s="82"/>
      <c r="E18" s="82"/>
      <c r="F18" s="82"/>
      <c r="G18" s="82"/>
    </row>
    <row r="19" spans="2:7" x14ac:dyDescent="0.3">
      <c r="B19" s="83" t="s">
        <v>20</v>
      </c>
      <c r="C19" s="83"/>
      <c r="D19" s="83"/>
      <c r="E19" s="83"/>
      <c r="F19" s="83"/>
      <c r="G19" s="83"/>
    </row>
  </sheetData>
  <mergeCells count="7">
    <mergeCell ref="B2:G2"/>
    <mergeCell ref="B13:F13"/>
    <mergeCell ref="B19:G19"/>
    <mergeCell ref="B15:F15"/>
    <mergeCell ref="B16:F16"/>
    <mergeCell ref="B18:G18"/>
    <mergeCell ref="B14:F14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CE41-0238-4477-9981-600DA1DC3241}">
  <dimension ref="B1:G17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90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81</v>
      </c>
      <c r="C5" s="21">
        <v>0.33</v>
      </c>
      <c r="D5" s="23"/>
      <c r="E5" s="69"/>
      <c r="F5" s="24">
        <f>D5+(D5*E5)</f>
        <v>0</v>
      </c>
      <c r="G5" s="45">
        <f>D5*C5</f>
        <v>0</v>
      </c>
    </row>
    <row r="6" spans="2:7" x14ac:dyDescent="0.3">
      <c r="B6" s="7" t="s">
        <v>85</v>
      </c>
      <c r="C6" s="18">
        <v>0.01</v>
      </c>
      <c r="D6" s="24">
        <v>16.07</v>
      </c>
      <c r="E6" s="65">
        <v>0.06</v>
      </c>
      <c r="F6" s="24">
        <f t="shared" ref="F6:F10" si="0">D6+(D6*E6)</f>
        <v>17.034199999999998</v>
      </c>
      <c r="G6" s="45">
        <f>D6*C6</f>
        <v>0.16070000000000001</v>
      </c>
    </row>
    <row r="7" spans="2:7" x14ac:dyDescent="0.3">
      <c r="B7" s="7" t="s">
        <v>36</v>
      </c>
      <c r="C7" s="18">
        <v>7.3999999999999996E-2</v>
      </c>
      <c r="D7" s="24">
        <v>1.61</v>
      </c>
      <c r="E7" s="65">
        <v>0.23</v>
      </c>
      <c r="F7" s="24">
        <f t="shared" si="0"/>
        <v>1.9803000000000002</v>
      </c>
      <c r="G7" s="45">
        <f t="shared" ref="G7:G10" si="1">D7*C7</f>
        <v>0.11914</v>
      </c>
    </row>
    <row r="8" spans="2:7" x14ac:dyDescent="0.3">
      <c r="B8" s="7" t="s">
        <v>86</v>
      </c>
      <c r="C8" s="18">
        <v>1.6E-2</v>
      </c>
      <c r="D8" s="24">
        <v>1.44</v>
      </c>
      <c r="E8" s="65">
        <v>0.23</v>
      </c>
      <c r="F8" s="24">
        <f t="shared" si="0"/>
        <v>1.7711999999999999</v>
      </c>
      <c r="G8" s="45">
        <f t="shared" si="1"/>
        <v>2.3039999999999998E-2</v>
      </c>
    </row>
    <row r="9" spans="2:7" x14ac:dyDescent="0.3">
      <c r="B9" s="7" t="s">
        <v>87</v>
      </c>
      <c r="C9" s="18">
        <v>0.495</v>
      </c>
      <c r="D9" s="24">
        <v>3.06</v>
      </c>
      <c r="E9" s="65">
        <v>0.23</v>
      </c>
      <c r="F9" s="24">
        <f t="shared" si="0"/>
        <v>3.7638000000000003</v>
      </c>
      <c r="G9" s="45">
        <f t="shared" si="1"/>
        <v>1.5146999999999999</v>
      </c>
    </row>
    <row r="10" spans="2:7" ht="15" thickBot="1" x14ac:dyDescent="0.35">
      <c r="B10" s="7" t="s">
        <v>24</v>
      </c>
      <c r="C10" s="18">
        <v>7.3999999999999996E-2</v>
      </c>
      <c r="D10" s="25">
        <v>1.6</v>
      </c>
      <c r="E10" s="66">
        <v>0.06</v>
      </c>
      <c r="F10" s="24">
        <f t="shared" si="0"/>
        <v>1.6960000000000002</v>
      </c>
      <c r="G10" s="45">
        <f t="shared" si="1"/>
        <v>0.11840000000000001</v>
      </c>
    </row>
    <row r="11" spans="2:7" ht="15" thickTop="1" x14ac:dyDescent="0.3">
      <c r="B11" s="76" t="s">
        <v>7</v>
      </c>
      <c r="C11" s="77"/>
      <c r="D11" s="77"/>
      <c r="E11" s="77"/>
      <c r="F11" s="77"/>
      <c r="G11" s="33">
        <f>SUM(G5:G10)</f>
        <v>1.93598</v>
      </c>
    </row>
    <row r="12" spans="2:7" x14ac:dyDescent="0.3">
      <c r="B12" s="78" t="s">
        <v>8</v>
      </c>
      <c r="C12" s="79"/>
      <c r="D12" s="79"/>
      <c r="E12" s="79"/>
      <c r="F12" s="79"/>
      <c r="G12" s="9"/>
    </row>
    <row r="13" spans="2:7" x14ac:dyDescent="0.3">
      <c r="B13" s="80" t="s">
        <v>9</v>
      </c>
      <c r="C13" s="81"/>
      <c r="D13" s="81"/>
      <c r="E13" s="81"/>
      <c r="F13" s="81"/>
      <c r="G13" s="9"/>
    </row>
    <row r="14" spans="2:7" ht="15" thickBot="1" x14ac:dyDescent="0.35">
      <c r="B14" s="71" t="s">
        <v>10</v>
      </c>
      <c r="C14" s="72"/>
      <c r="D14" s="72"/>
      <c r="E14" s="72"/>
      <c r="F14" s="72"/>
      <c r="G14" s="10"/>
    </row>
    <row r="15" spans="2:7" ht="15" thickTop="1" x14ac:dyDescent="0.3">
      <c r="B15" s="2"/>
      <c r="C15" s="2"/>
      <c r="D15" s="2"/>
      <c r="E15" s="2"/>
      <c r="F15" s="2"/>
      <c r="G15" s="2"/>
    </row>
    <row r="16" spans="2:7" x14ac:dyDescent="0.3">
      <c r="B16" s="82" t="s">
        <v>11</v>
      </c>
      <c r="C16" s="82"/>
      <c r="D16" s="82"/>
      <c r="E16" s="82"/>
      <c r="F16" s="82"/>
      <c r="G16" s="82"/>
    </row>
    <row r="17" spans="2:7" x14ac:dyDescent="0.3">
      <c r="B17" s="83" t="s">
        <v>20</v>
      </c>
      <c r="C17" s="83"/>
      <c r="D17" s="83"/>
      <c r="E17" s="83"/>
      <c r="F17" s="83"/>
      <c r="G17" s="83"/>
    </row>
  </sheetData>
  <mergeCells count="7">
    <mergeCell ref="B2:G2"/>
    <mergeCell ref="B16:G16"/>
    <mergeCell ref="B17:G17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269-06A5-487E-9A15-7D68533D2E19}">
  <dimension ref="B1:G14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89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83</v>
      </c>
      <c r="C5" s="21">
        <v>0.41699999999999998</v>
      </c>
      <c r="D5" s="23">
        <v>2.1</v>
      </c>
      <c r="E5" s="69">
        <v>0.06</v>
      </c>
      <c r="F5" s="24">
        <f>D5+(D5*E5)</f>
        <v>2.226</v>
      </c>
      <c r="G5" s="45">
        <f>D5*C5</f>
        <v>0.87570000000000003</v>
      </c>
    </row>
    <row r="6" spans="2:7" x14ac:dyDescent="0.3">
      <c r="B6" s="7" t="s">
        <v>78</v>
      </c>
      <c r="C6" s="18">
        <v>0.2</v>
      </c>
      <c r="D6" s="24">
        <f>'Sú'!G9</f>
        <v>1.2686739999999999</v>
      </c>
      <c r="E6" s="65"/>
      <c r="F6" s="24">
        <f t="shared" ref="F6" si="0">D6+(D6*E6)</f>
        <v>1.2686739999999999</v>
      </c>
      <c r="G6" s="45">
        <f>D6*C6</f>
        <v>0.25373479999999998</v>
      </c>
    </row>
    <row r="7" spans="2:7" ht="15" thickBot="1" x14ac:dyDescent="0.35">
      <c r="B7" s="7" t="s">
        <v>12</v>
      </c>
      <c r="C7" s="18">
        <v>0.38300000000000001</v>
      </c>
      <c r="D7" s="24" t="s">
        <v>66</v>
      </c>
      <c r="E7" s="65" t="s">
        <v>66</v>
      </c>
      <c r="F7" s="24" t="s">
        <v>66</v>
      </c>
      <c r="G7" s="45" t="s">
        <v>66</v>
      </c>
    </row>
    <row r="8" spans="2:7" ht="15" thickTop="1" x14ac:dyDescent="0.3">
      <c r="B8" s="76" t="s">
        <v>7</v>
      </c>
      <c r="C8" s="77"/>
      <c r="D8" s="77"/>
      <c r="E8" s="77"/>
      <c r="F8" s="77"/>
      <c r="G8" s="33">
        <f>SUM(G5:G7)</f>
        <v>1.1294348000000001</v>
      </c>
    </row>
    <row r="9" spans="2:7" x14ac:dyDescent="0.3">
      <c r="B9" s="78" t="s">
        <v>8</v>
      </c>
      <c r="C9" s="79"/>
      <c r="D9" s="79"/>
      <c r="E9" s="79"/>
      <c r="F9" s="79"/>
      <c r="G9" s="9"/>
    </row>
    <row r="10" spans="2:7" x14ac:dyDescent="0.3">
      <c r="B10" s="80" t="s">
        <v>9</v>
      </c>
      <c r="C10" s="81"/>
      <c r="D10" s="81"/>
      <c r="E10" s="81"/>
      <c r="F10" s="81"/>
      <c r="G10" s="9"/>
    </row>
    <row r="11" spans="2:7" ht="15" thickBot="1" x14ac:dyDescent="0.35">
      <c r="B11" s="71" t="s">
        <v>10</v>
      </c>
      <c r="C11" s="72"/>
      <c r="D11" s="72"/>
      <c r="E11" s="72"/>
      <c r="F11" s="72"/>
      <c r="G11" s="10"/>
    </row>
    <row r="12" spans="2:7" ht="15" thickTop="1" x14ac:dyDescent="0.3">
      <c r="B12" s="2"/>
      <c r="C12" s="2"/>
      <c r="D12" s="2"/>
      <c r="E12" s="2"/>
      <c r="F12" s="2"/>
      <c r="G12" s="2"/>
    </row>
    <row r="13" spans="2:7" x14ac:dyDescent="0.3">
      <c r="B13" s="82" t="s">
        <v>11</v>
      </c>
      <c r="C13" s="82"/>
      <c r="D13" s="82"/>
      <c r="E13" s="82"/>
      <c r="F13" s="82"/>
      <c r="G13" s="82"/>
    </row>
    <row r="14" spans="2:7" x14ac:dyDescent="0.3">
      <c r="B14" s="83" t="s">
        <v>20</v>
      </c>
      <c r="C14" s="83"/>
      <c r="D14" s="83"/>
      <c r="E14" s="83"/>
      <c r="F14" s="83"/>
      <c r="G14" s="83"/>
    </row>
  </sheetData>
  <mergeCells count="7">
    <mergeCell ref="B2:G2"/>
    <mergeCell ref="B13:G13"/>
    <mergeCell ref="B14:G14"/>
    <mergeCell ref="B8:F8"/>
    <mergeCell ref="B9:F9"/>
    <mergeCell ref="B10:F10"/>
    <mergeCell ref="B11:F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E704-E8D1-490C-8826-F035DC42C822}">
  <dimension ref="B1:G15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101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25</v>
      </c>
      <c r="C5" s="21">
        <v>0.66600000000000004</v>
      </c>
      <c r="D5" s="23">
        <v>2.16</v>
      </c>
      <c r="E5" s="69">
        <v>0.23</v>
      </c>
      <c r="F5" s="24">
        <f>D5+(D5*E5)</f>
        <v>2.6568000000000001</v>
      </c>
      <c r="G5" s="45">
        <f>D5*C5</f>
        <v>1.4385600000000003</v>
      </c>
    </row>
    <row r="6" spans="2:7" x14ac:dyDescent="0.3">
      <c r="B6" s="7" t="s">
        <v>84</v>
      </c>
      <c r="C6" s="18">
        <v>0.16</v>
      </c>
      <c r="D6" s="24">
        <v>16.38</v>
      </c>
      <c r="E6" s="65">
        <v>0.23</v>
      </c>
      <c r="F6" s="24">
        <f t="shared" ref="F6:F8" si="0">D6+(D6*E6)</f>
        <v>20.147399999999998</v>
      </c>
      <c r="G6" s="45">
        <f>D6*C6</f>
        <v>2.6208</v>
      </c>
    </row>
    <row r="7" spans="2:7" x14ac:dyDescent="0.3">
      <c r="B7" s="7" t="s">
        <v>24</v>
      </c>
      <c r="C7" s="18">
        <v>0.13300000000000001</v>
      </c>
      <c r="D7" s="24">
        <v>1.6</v>
      </c>
      <c r="E7" s="65">
        <v>0.06</v>
      </c>
      <c r="F7" s="24">
        <f t="shared" si="0"/>
        <v>1.6960000000000002</v>
      </c>
      <c r="G7" s="45">
        <f t="shared" ref="G7:G8" si="1">D7*C7</f>
        <v>0.21280000000000002</v>
      </c>
    </row>
    <row r="8" spans="2:7" ht="15" thickBot="1" x14ac:dyDescent="0.35">
      <c r="B8" s="7" t="s">
        <v>79</v>
      </c>
      <c r="C8" s="18">
        <v>0.04</v>
      </c>
      <c r="D8" s="24">
        <v>5.97</v>
      </c>
      <c r="E8" s="65">
        <v>0.23</v>
      </c>
      <c r="F8" s="24">
        <f t="shared" si="0"/>
        <v>7.3430999999999997</v>
      </c>
      <c r="G8" s="45">
        <f t="shared" si="1"/>
        <v>0.23879999999999998</v>
      </c>
    </row>
    <row r="9" spans="2:7" ht="15" thickTop="1" x14ac:dyDescent="0.3">
      <c r="B9" s="76" t="s">
        <v>7</v>
      </c>
      <c r="C9" s="77"/>
      <c r="D9" s="77"/>
      <c r="E9" s="77"/>
      <c r="F9" s="77"/>
      <c r="G9" s="33">
        <f>SUM(G5:G8)</f>
        <v>4.5109599999999999</v>
      </c>
    </row>
    <row r="10" spans="2:7" x14ac:dyDescent="0.3">
      <c r="B10" s="78" t="s">
        <v>8</v>
      </c>
      <c r="C10" s="79"/>
      <c r="D10" s="79"/>
      <c r="E10" s="79"/>
      <c r="F10" s="79"/>
      <c r="G10" s="9"/>
    </row>
    <row r="11" spans="2:7" x14ac:dyDescent="0.3">
      <c r="B11" s="80" t="s">
        <v>9</v>
      </c>
      <c r="C11" s="81"/>
      <c r="D11" s="81"/>
      <c r="E11" s="81"/>
      <c r="F11" s="81"/>
      <c r="G11" s="9"/>
    </row>
    <row r="12" spans="2:7" ht="15" thickBot="1" x14ac:dyDescent="0.35">
      <c r="B12" s="71" t="s">
        <v>10</v>
      </c>
      <c r="C12" s="72"/>
      <c r="D12" s="72"/>
      <c r="E12" s="72"/>
      <c r="F12" s="72"/>
      <c r="G12" s="10"/>
    </row>
    <row r="13" spans="2:7" ht="15" thickTop="1" x14ac:dyDescent="0.3">
      <c r="B13" s="2"/>
      <c r="C13" s="2"/>
      <c r="D13" s="2"/>
      <c r="E13" s="2"/>
      <c r="F13" s="2"/>
      <c r="G13" s="2"/>
    </row>
    <row r="14" spans="2:7" x14ac:dyDescent="0.3">
      <c r="B14" s="82" t="s">
        <v>11</v>
      </c>
      <c r="C14" s="82"/>
      <c r="D14" s="82"/>
      <c r="E14" s="82"/>
      <c r="F14" s="82"/>
      <c r="G14" s="82"/>
    </row>
    <row r="15" spans="2:7" x14ac:dyDescent="0.3">
      <c r="B15" s="83" t="s">
        <v>20</v>
      </c>
      <c r="C15" s="83"/>
      <c r="D15" s="83"/>
      <c r="E15" s="83"/>
      <c r="F15" s="83"/>
      <c r="G15" s="83"/>
    </row>
  </sheetData>
  <mergeCells count="7">
    <mergeCell ref="B2:G2"/>
    <mergeCell ref="B14:G14"/>
    <mergeCell ref="B15:G15"/>
    <mergeCell ref="B9:F9"/>
    <mergeCell ref="B10:F10"/>
    <mergeCell ref="B11:F11"/>
    <mergeCell ref="B12:F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3937-56D5-4241-B92E-A95EE3D0D5F5}">
  <dimension ref="B1:G15"/>
  <sheetViews>
    <sheetView workbookViewId="0">
      <selection activeCell="G1" sqref="A1:G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88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80</v>
      </c>
      <c r="C5" s="21">
        <v>0.59799999999999998</v>
      </c>
      <c r="D5" s="23">
        <v>1.44</v>
      </c>
      <c r="E5" s="69">
        <v>0.23</v>
      </c>
      <c r="F5" s="24">
        <f>D5+(D5*E5)</f>
        <v>1.7711999999999999</v>
      </c>
      <c r="G5" s="45">
        <f>D5*C5</f>
        <v>0.86111999999999989</v>
      </c>
    </row>
    <row r="6" spans="2:7" x14ac:dyDescent="0.3">
      <c r="B6" s="7" t="s">
        <v>82</v>
      </c>
      <c r="C6" s="18">
        <v>3.5999999999999997E-2</v>
      </c>
      <c r="D6" s="24">
        <v>3.41</v>
      </c>
      <c r="E6" s="65">
        <v>0.23</v>
      </c>
      <c r="F6" s="24">
        <f t="shared" ref="F6:F8" si="0">D6+(D6*E6)</f>
        <v>4.1943000000000001</v>
      </c>
      <c r="G6" s="45">
        <f>D6*C6</f>
        <v>0.12275999999999999</v>
      </c>
    </row>
    <row r="7" spans="2:7" x14ac:dyDescent="0.3">
      <c r="B7" s="7" t="s">
        <v>37</v>
      </c>
      <c r="C7" s="18">
        <v>0.35899999999999999</v>
      </c>
      <c r="D7" s="24">
        <v>0.76600000000000001</v>
      </c>
      <c r="E7" s="65">
        <v>0.06</v>
      </c>
      <c r="F7" s="24">
        <f t="shared" si="0"/>
        <v>0.81196000000000002</v>
      </c>
      <c r="G7" s="45">
        <f t="shared" ref="G7:G8" si="1">D7*C7</f>
        <v>0.27499400000000002</v>
      </c>
    </row>
    <row r="8" spans="2:7" ht="15" thickBot="1" x14ac:dyDescent="0.35">
      <c r="B8" s="7" t="s">
        <v>23</v>
      </c>
      <c r="C8" s="18">
        <v>7.0000000000000001E-3</v>
      </c>
      <c r="D8" s="24">
        <v>1.4</v>
      </c>
      <c r="E8" s="65">
        <v>0.06</v>
      </c>
      <c r="F8" s="24">
        <f t="shared" si="0"/>
        <v>1.484</v>
      </c>
      <c r="G8" s="45">
        <f t="shared" si="1"/>
        <v>9.7999999999999997E-3</v>
      </c>
    </row>
    <row r="9" spans="2:7" ht="15" thickTop="1" x14ac:dyDescent="0.3">
      <c r="B9" s="76" t="s">
        <v>7</v>
      </c>
      <c r="C9" s="77"/>
      <c r="D9" s="77"/>
      <c r="E9" s="77"/>
      <c r="F9" s="77"/>
      <c r="G9" s="33">
        <f>SUM(G5:G8)</f>
        <v>1.2686739999999999</v>
      </c>
    </row>
    <row r="10" spans="2:7" x14ac:dyDescent="0.3">
      <c r="B10" s="78" t="s">
        <v>8</v>
      </c>
      <c r="C10" s="79"/>
      <c r="D10" s="79"/>
      <c r="E10" s="79"/>
      <c r="F10" s="79"/>
      <c r="G10" s="9"/>
    </row>
    <row r="11" spans="2:7" x14ac:dyDescent="0.3">
      <c r="B11" s="80" t="s">
        <v>9</v>
      </c>
      <c r="C11" s="81"/>
      <c r="D11" s="81"/>
      <c r="E11" s="81"/>
      <c r="F11" s="81"/>
      <c r="G11" s="9"/>
    </row>
    <row r="12" spans="2:7" ht="15" thickBot="1" x14ac:dyDescent="0.35">
      <c r="B12" s="71" t="s">
        <v>10</v>
      </c>
      <c r="C12" s="72"/>
      <c r="D12" s="72"/>
      <c r="E12" s="72"/>
      <c r="F12" s="72"/>
      <c r="G12" s="10"/>
    </row>
    <row r="13" spans="2:7" ht="15" thickTop="1" x14ac:dyDescent="0.3">
      <c r="B13" s="2"/>
      <c r="C13" s="2"/>
      <c r="D13" s="2"/>
      <c r="E13" s="2"/>
      <c r="F13" s="2"/>
      <c r="G13" s="2"/>
    </row>
    <row r="14" spans="2:7" x14ac:dyDescent="0.3">
      <c r="B14" s="82" t="s">
        <v>11</v>
      </c>
      <c r="C14" s="82"/>
      <c r="D14" s="82"/>
      <c r="E14" s="82"/>
      <c r="F14" s="82"/>
      <c r="G14" s="82"/>
    </row>
    <row r="15" spans="2:7" x14ac:dyDescent="0.3">
      <c r="B15" s="83" t="s">
        <v>20</v>
      </c>
      <c r="C15" s="83"/>
      <c r="D15" s="83"/>
      <c r="E15" s="83"/>
      <c r="F15" s="83"/>
      <c r="G15" s="83"/>
    </row>
  </sheetData>
  <mergeCells count="7">
    <mergeCell ref="B2:G2"/>
    <mergeCell ref="B14:G14"/>
    <mergeCell ref="B15:G15"/>
    <mergeCell ref="B9:F9"/>
    <mergeCell ref="B10:F10"/>
    <mergeCell ref="B11:F11"/>
    <mergeCell ref="B12:F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7DC7-6EF5-46A6-B112-6A5202A6127F}">
  <dimension ref="B1:G13"/>
  <sheetViews>
    <sheetView tabSelected="1" workbookViewId="0">
      <selection activeCell="B2" sqref="B2:G2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113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99</v>
      </c>
      <c r="C5" s="21">
        <v>0.5</v>
      </c>
      <c r="D5" s="23">
        <v>3.66</v>
      </c>
      <c r="E5" s="69">
        <v>0.23</v>
      </c>
      <c r="F5" s="24">
        <f>D5+(D5*E5)</f>
        <v>4.5018000000000002</v>
      </c>
      <c r="G5" s="45">
        <f>D5*C5</f>
        <v>1.83</v>
      </c>
    </row>
    <row r="6" spans="2:7" ht="15" thickBot="1" x14ac:dyDescent="0.35">
      <c r="B6" s="19" t="s">
        <v>100</v>
      </c>
      <c r="C6" s="21">
        <v>0.5</v>
      </c>
      <c r="D6" s="23">
        <v>0.76600000000000001</v>
      </c>
      <c r="E6" s="66">
        <v>0.06</v>
      </c>
      <c r="F6" s="24">
        <f>D6+(D6*E6)</f>
        <v>0.81196000000000002</v>
      </c>
      <c r="G6" s="45">
        <f>C6*D6</f>
        <v>0.38300000000000001</v>
      </c>
    </row>
    <row r="7" spans="2:7" ht="15" thickTop="1" x14ac:dyDescent="0.3">
      <c r="B7" s="76" t="s">
        <v>7</v>
      </c>
      <c r="C7" s="77"/>
      <c r="D7" s="77"/>
      <c r="E7" s="77"/>
      <c r="F7" s="77"/>
      <c r="G7" s="33">
        <f>SUM(G5:G6)</f>
        <v>2.2130000000000001</v>
      </c>
    </row>
    <row r="8" spans="2:7" x14ac:dyDescent="0.3">
      <c r="B8" s="78" t="s">
        <v>8</v>
      </c>
      <c r="C8" s="79"/>
      <c r="D8" s="79"/>
      <c r="E8" s="79"/>
      <c r="F8" s="79"/>
      <c r="G8" s="9"/>
    </row>
    <row r="9" spans="2:7" x14ac:dyDescent="0.3">
      <c r="B9" s="80" t="s">
        <v>9</v>
      </c>
      <c r="C9" s="81"/>
      <c r="D9" s="81"/>
      <c r="E9" s="81"/>
      <c r="F9" s="81"/>
      <c r="G9" s="9"/>
    </row>
    <row r="10" spans="2:7" ht="15" thickBot="1" x14ac:dyDescent="0.35">
      <c r="B10" s="71" t="s">
        <v>10</v>
      </c>
      <c r="C10" s="72"/>
      <c r="D10" s="72"/>
      <c r="E10" s="72"/>
      <c r="F10" s="72"/>
      <c r="G10" s="10"/>
    </row>
    <row r="11" spans="2:7" ht="15" thickTop="1" x14ac:dyDescent="0.3">
      <c r="B11" s="2"/>
      <c r="C11" s="2"/>
      <c r="D11" s="2"/>
      <c r="E11" s="2"/>
      <c r="F11" s="2"/>
      <c r="G11" s="2"/>
    </row>
    <row r="12" spans="2:7" x14ac:dyDescent="0.3">
      <c r="B12" s="82" t="s">
        <v>11</v>
      </c>
      <c r="C12" s="82"/>
      <c r="D12" s="82"/>
      <c r="E12" s="82"/>
      <c r="F12" s="82"/>
      <c r="G12" s="82"/>
    </row>
    <row r="13" spans="2:7" x14ac:dyDescent="0.3">
      <c r="B13" s="83" t="s">
        <v>20</v>
      </c>
      <c r="C13" s="83"/>
      <c r="D13" s="83"/>
      <c r="E13" s="83"/>
      <c r="F13" s="83"/>
      <c r="G13" s="83"/>
    </row>
  </sheetData>
  <mergeCells count="7">
    <mergeCell ref="B13:G13"/>
    <mergeCell ref="B9:F9"/>
    <mergeCell ref="B10:F10"/>
    <mergeCell ref="B12:G12"/>
    <mergeCell ref="B2:G2"/>
    <mergeCell ref="B7:F7"/>
    <mergeCell ref="B8:F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7DD9-6CE4-4384-8306-03328D1B8D68}">
  <dimension ref="B1:G18"/>
  <sheetViews>
    <sheetView workbookViewId="0">
      <selection activeCell="B1" sqref="B1:B1048576"/>
    </sheetView>
  </sheetViews>
  <sheetFormatPr defaultRowHeight="14.4" x14ac:dyDescent="0.3"/>
  <cols>
    <col min="2" max="2" width="20.77734375" style="1" customWidth="1"/>
    <col min="3" max="4" width="12.77734375" style="1" customWidth="1"/>
    <col min="5" max="5" width="6.77734375" style="1" customWidth="1"/>
    <col min="6" max="7" width="12.77734375" style="1" customWidth="1"/>
  </cols>
  <sheetData>
    <row r="1" spans="2:7" ht="15" thickBot="1" x14ac:dyDescent="0.35"/>
    <row r="2" spans="2:7" ht="18" thickBot="1" x14ac:dyDescent="0.35">
      <c r="B2" s="73" t="s">
        <v>114</v>
      </c>
      <c r="C2" s="74"/>
      <c r="D2" s="74"/>
      <c r="E2" s="74"/>
      <c r="F2" s="74"/>
      <c r="G2" s="75"/>
    </row>
    <row r="3" spans="2:7" ht="15" thickBot="1" x14ac:dyDescent="0.35">
      <c r="B3" s="2"/>
      <c r="C3" s="2"/>
      <c r="D3" s="2"/>
      <c r="E3" s="2"/>
      <c r="F3" s="2"/>
      <c r="G3" s="2"/>
    </row>
    <row r="4" spans="2:7" ht="15" thickTop="1" x14ac:dyDescent="0.3">
      <c r="B4" s="3" t="s">
        <v>1</v>
      </c>
      <c r="C4" s="5" t="s">
        <v>2</v>
      </c>
      <c r="D4" s="4" t="s">
        <v>42</v>
      </c>
      <c r="E4" s="4" t="s">
        <v>43</v>
      </c>
      <c r="F4" s="4" t="s">
        <v>44</v>
      </c>
      <c r="G4" s="6" t="s">
        <v>21</v>
      </c>
    </row>
    <row r="5" spans="2:7" x14ac:dyDescent="0.3">
      <c r="B5" s="19" t="s">
        <v>94</v>
      </c>
      <c r="C5" s="21">
        <v>0.45</v>
      </c>
      <c r="D5" s="23">
        <v>3.78</v>
      </c>
      <c r="E5" s="69">
        <v>0.06</v>
      </c>
      <c r="F5" s="24">
        <f>D5+(D5*E5)</f>
        <v>4.0068000000000001</v>
      </c>
      <c r="G5" s="45">
        <f>D5*C5</f>
        <v>1.7009999999999998</v>
      </c>
    </row>
    <row r="6" spans="2:7" x14ac:dyDescent="0.3">
      <c r="B6" s="19" t="s">
        <v>95</v>
      </c>
      <c r="C6" s="21">
        <v>0.5</v>
      </c>
      <c r="D6" s="23">
        <v>2.8</v>
      </c>
      <c r="E6" s="66">
        <v>0.06</v>
      </c>
      <c r="F6" s="24">
        <f t="shared" ref="F6:F11" si="0">D6+(D6*E6)</f>
        <v>2.968</v>
      </c>
      <c r="G6" s="45">
        <f t="shared" ref="G6:G11" si="1">D6*C6</f>
        <v>1.4</v>
      </c>
    </row>
    <row r="7" spans="2:7" x14ac:dyDescent="0.3">
      <c r="B7" s="19" t="s">
        <v>96</v>
      </c>
      <c r="C7" s="21">
        <v>0.3</v>
      </c>
      <c r="D7" s="23">
        <v>1.47</v>
      </c>
      <c r="E7" s="66">
        <v>0.23</v>
      </c>
      <c r="F7" s="24">
        <f t="shared" si="0"/>
        <v>1.8081</v>
      </c>
      <c r="G7" s="45">
        <f t="shared" si="1"/>
        <v>0.441</v>
      </c>
    </row>
    <row r="8" spans="2:7" x14ac:dyDescent="0.3">
      <c r="B8" s="19" t="s">
        <v>97</v>
      </c>
      <c r="C8" s="21">
        <v>0.2</v>
      </c>
      <c r="D8" s="23">
        <v>1.8</v>
      </c>
      <c r="E8" s="66">
        <v>0.06</v>
      </c>
      <c r="F8" s="24">
        <f t="shared" si="0"/>
        <v>1.9080000000000001</v>
      </c>
      <c r="G8" s="45">
        <f t="shared" si="1"/>
        <v>0.36000000000000004</v>
      </c>
    </row>
    <row r="9" spans="2:7" x14ac:dyDescent="0.3">
      <c r="B9" s="19" t="s">
        <v>60</v>
      </c>
      <c r="C9" s="21">
        <v>1.4999999999999999E-2</v>
      </c>
      <c r="D9" s="23">
        <v>4.8</v>
      </c>
      <c r="E9" s="66">
        <v>0.06</v>
      </c>
      <c r="F9" s="24">
        <f t="shared" si="0"/>
        <v>5.0880000000000001</v>
      </c>
      <c r="G9" s="45">
        <f t="shared" si="1"/>
        <v>7.1999999999999995E-2</v>
      </c>
    </row>
    <row r="10" spans="2:7" x14ac:dyDescent="0.3">
      <c r="B10" s="19" t="s">
        <v>24</v>
      </c>
      <c r="C10" s="21">
        <v>0.18</v>
      </c>
      <c r="D10" s="23">
        <v>1.6</v>
      </c>
      <c r="E10" s="66">
        <v>0.06</v>
      </c>
      <c r="F10" s="24">
        <f t="shared" si="0"/>
        <v>1.6960000000000002</v>
      </c>
      <c r="G10" s="45">
        <f t="shared" si="1"/>
        <v>0.28799999999999998</v>
      </c>
    </row>
    <row r="11" spans="2:7" ht="15" thickBot="1" x14ac:dyDescent="0.35">
      <c r="B11" s="19" t="s">
        <v>98</v>
      </c>
      <c r="C11" s="21">
        <v>8.0000000000000002E-3</v>
      </c>
      <c r="D11" s="23">
        <v>13.32</v>
      </c>
      <c r="E11" s="66">
        <v>0.06</v>
      </c>
      <c r="F11" s="24">
        <f t="shared" si="0"/>
        <v>14.119200000000001</v>
      </c>
      <c r="G11" s="45">
        <f t="shared" si="1"/>
        <v>0.10656</v>
      </c>
    </row>
    <row r="12" spans="2:7" ht="15" thickTop="1" x14ac:dyDescent="0.3">
      <c r="B12" s="76" t="s">
        <v>7</v>
      </c>
      <c r="C12" s="77"/>
      <c r="D12" s="77"/>
      <c r="E12" s="77"/>
      <c r="F12" s="77"/>
      <c r="G12" s="33">
        <f>SUM(G5:G11)</f>
        <v>4.3685599999999996</v>
      </c>
    </row>
    <row r="13" spans="2:7" x14ac:dyDescent="0.3">
      <c r="B13" s="78" t="s">
        <v>8</v>
      </c>
      <c r="C13" s="79"/>
      <c r="D13" s="79"/>
      <c r="E13" s="79"/>
      <c r="F13" s="79"/>
      <c r="G13" s="9"/>
    </row>
    <row r="14" spans="2:7" x14ac:dyDescent="0.3">
      <c r="B14" s="80" t="s">
        <v>9</v>
      </c>
      <c r="C14" s="81"/>
      <c r="D14" s="81"/>
      <c r="E14" s="81"/>
      <c r="F14" s="81"/>
      <c r="G14" s="9"/>
    </row>
    <row r="15" spans="2:7" ht="15" thickBot="1" x14ac:dyDescent="0.35">
      <c r="B15" s="71" t="s">
        <v>10</v>
      </c>
      <c r="C15" s="72"/>
      <c r="D15" s="72"/>
      <c r="E15" s="72"/>
      <c r="F15" s="72"/>
      <c r="G15" s="10"/>
    </row>
    <row r="16" spans="2:7" ht="15" thickTop="1" x14ac:dyDescent="0.3">
      <c r="B16" s="2"/>
      <c r="C16" s="2"/>
      <c r="D16" s="2"/>
      <c r="E16" s="2"/>
      <c r="F16" s="2"/>
      <c r="G16" s="2"/>
    </row>
    <row r="17" spans="2:7" x14ac:dyDescent="0.3">
      <c r="B17" s="82" t="s">
        <v>11</v>
      </c>
      <c r="C17" s="82"/>
      <c r="D17" s="82"/>
      <c r="E17" s="82"/>
      <c r="F17" s="82"/>
      <c r="G17" s="82"/>
    </row>
    <row r="18" spans="2:7" x14ac:dyDescent="0.3">
      <c r="B18" s="83" t="s">
        <v>20</v>
      </c>
      <c r="C18" s="83"/>
      <c r="D18" s="83"/>
      <c r="E18" s="83"/>
      <c r="F18" s="83"/>
      <c r="G18" s="83"/>
    </row>
  </sheetData>
  <mergeCells count="7">
    <mergeCell ref="B18:G18"/>
    <mergeCell ref="B14:F14"/>
    <mergeCell ref="B15:F15"/>
    <mergeCell ref="B17:G17"/>
    <mergeCell ref="B2:G2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24</vt:i4>
      </vt:variant>
    </vt:vector>
  </HeadingPairs>
  <TitlesOfParts>
    <vt:vector size="24" baseType="lpstr">
      <vt:lpstr>Manteiga A&amp;E</vt:lpstr>
      <vt:lpstr>Molho DG</vt:lpstr>
      <vt:lpstr>Molho Tártaro</vt:lpstr>
      <vt:lpstr>Puré Bat Doce</vt:lpstr>
      <vt:lpstr>Guacamole</vt:lpstr>
      <vt:lpstr>Pico de Gallo</vt:lpstr>
      <vt:lpstr>Cebola Caramelizada</vt:lpstr>
      <vt:lpstr>Cogumelos Assados</vt:lpstr>
      <vt:lpstr>Quinoa.Grão.Tofu</vt:lpstr>
      <vt:lpstr>Maionese Caju</vt:lpstr>
      <vt:lpstr>Pasta atum</vt:lpstr>
      <vt:lpstr>Pasta Frango</vt:lpstr>
      <vt:lpstr>Húmmus</vt:lpstr>
      <vt:lpstr>Granola Salgada</vt:lpstr>
      <vt:lpstr>Molho Figo</vt:lpstr>
      <vt:lpstr>Croutons</vt:lpstr>
      <vt:lpstr>Granola</vt:lpstr>
      <vt:lpstr>Choco Frito</vt:lpstr>
      <vt:lpstr>Molho Ponzu</vt:lpstr>
      <vt:lpstr>Arroz Sushi</vt:lpstr>
      <vt:lpstr>Maionese Picante</vt:lpstr>
      <vt:lpstr>Sú</vt:lpstr>
      <vt:lpstr>Praline Amendoim</vt:lpstr>
      <vt:lpstr>Compota Frutos Vermelhos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2026-06-27T11:56:46Z</dcterms:created>
  <dcterms:modified xsi:type="dcterms:W3CDTF">2026-08-19T13:25:02Z</dcterms:modified>
</cp:coreProperties>
</file>