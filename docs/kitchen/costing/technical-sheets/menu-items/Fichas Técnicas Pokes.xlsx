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a07027276a17f/Documentos/Ribbaí/RIBB.AI/docs/kitchen/costing/technical-sheets/menu-items/"/>
    </mc:Choice>
  </mc:AlternateContent>
  <xr:revisionPtr revIDLastSave="237" documentId="8_{BFF8EA9B-AECA-4CDA-9475-BF3B99C3711F}" xr6:coauthVersionLast="47" xr6:coauthVersionMax="47" xr10:uidLastSave="{ED62594B-A899-453E-BAD0-CC3742690EFC}"/>
  <bookViews>
    <workbookView xWindow="-108" yWindow="-108" windowWidth="23256" windowHeight="12456" xr2:uid="{24C2847A-8523-4307-92F2-77293B893930}"/>
  </bookViews>
  <sheets>
    <sheet name="Fresh &quot;Ribeira&quot;" sheetId="1" r:id="rId1"/>
    <sheet name="Spicy &quot;Cave&quot;" sheetId="2" r:id="rId2"/>
    <sheet name="Veggie &quot;Reef&quot;" sheetId="3" r:id="rId3"/>
    <sheet name="Cream &quot;Coxos&quot;" sheetId="4" r:id="rId4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<sst xmlns="http://schemas.openxmlformats.org/spreadsheetml/2006/main" count="85" uniqueCount="42">
  <si>
    <t>Ingredientes</t>
  </si>
  <si>
    <t>Quantidades</t>
  </si>
  <si>
    <t>Preço Venda c/Iva</t>
  </si>
  <si>
    <t>% food cost</t>
  </si>
  <si>
    <t xml:space="preserve">Preparação: </t>
  </si>
  <si>
    <r>
      <t>Serviço:</t>
    </r>
    <r>
      <rPr>
        <sz val="11"/>
        <color theme="1"/>
        <rFont val="Arial"/>
        <family val="2"/>
      </rPr>
      <t xml:space="preserve"> </t>
    </r>
  </si>
  <si>
    <t>Custo Mercadoria s/Iva</t>
  </si>
  <si>
    <t>Preço Venda s/Iva</t>
  </si>
  <si>
    <t>FRESH "RIBEIRA"</t>
  </si>
  <si>
    <t>SPICY "CAVE"</t>
  </si>
  <si>
    <t>VEGGIE "REEF"</t>
  </si>
  <si>
    <t>CREAM "COXOS"</t>
  </si>
  <si>
    <t>Arroz sushi (dose)</t>
  </si>
  <si>
    <t>Salmão fresco</t>
  </si>
  <si>
    <t>Manga</t>
  </si>
  <si>
    <t>Abacate</t>
  </si>
  <si>
    <t>Cebola roxa</t>
  </si>
  <si>
    <t>Milho crocante</t>
  </si>
  <si>
    <t>Coentros</t>
  </si>
  <si>
    <t>Molho Ponzu (dose)</t>
  </si>
  <si>
    <t>Atum fresco</t>
  </si>
  <si>
    <t>Guacamole (dose)</t>
  </si>
  <si>
    <t>Alga wakame</t>
  </si>
  <si>
    <t>Maionese picante (dose)</t>
  </si>
  <si>
    <t>Edamame</t>
  </si>
  <si>
    <t>Tofu marinado</t>
  </si>
  <si>
    <t>Pepino</t>
  </si>
  <si>
    <t>Cebolinho</t>
  </si>
  <si>
    <t>Morango</t>
  </si>
  <si>
    <t>Queijo creme</t>
  </si>
  <si>
    <t>Cebola frita</t>
  </si>
  <si>
    <t>Molho teryaki</t>
  </si>
  <si>
    <t>IVA</t>
  </si>
  <si>
    <t>Preço s/ IVA</t>
  </si>
  <si>
    <t>Preço c/ IVA</t>
  </si>
  <si>
    <t>Custo</t>
  </si>
  <si>
    <t>Togarashi fio</t>
  </si>
  <si>
    <t>Togarashi pó</t>
  </si>
  <si>
    <t>Goma dressing</t>
  </si>
  <si>
    <t>Sementes sésamo pretas</t>
  </si>
  <si>
    <t>Sementes sésamo brancas</t>
  </si>
  <si>
    <t>Vinagre de arroz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</si>
</sst>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0" xfId="0" applyFont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164" fontId="4" fillId="0" borderId="14" xfId="2" applyNumberFormat="1" applyFont="1" applyBorder="1" applyAlignment="1">
      <alignment horizontal="right" vertical="center"/>
    </xf>
    <xf numFmtId="164" fontId="4" fillId="0" borderId="17" xfId="2" applyNumberFormat="1" applyFont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164" fontId="3" fillId="0" borderId="9" xfId="0" applyNumberFormat="1" applyFont="1" applyBorder="1" applyAlignment="1">
      <alignment horizontal="right" vertical="center"/>
    </xf>
    <xf numFmtId="164" fontId="4" fillId="0" borderId="14" xfId="2" applyNumberFormat="1" applyFont="1" applyBorder="1" applyAlignment="1">
      <alignment vertical="center"/>
    </xf>
    <xf numFmtId="164" fontId="4" fillId="0" borderId="17" xfId="2" applyNumberFormat="1" applyFont="1" applyBorder="1" applyAlignment="1">
      <alignment vertical="center"/>
    </xf>
    <xf numFmtId="9" fontId="3" fillId="0" borderId="9" xfId="1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9" fontId="4" fillId="2" borderId="20" xfId="1" applyFont="1" applyFill="1" applyBorder="1" applyAlignment="1">
      <alignment vertical="center"/>
    </xf>
  </cellXfs>
  <cellStyles count="3">
    <cellStyle name="Moeda 2" xfId="2" xr:uid="{66508796-9C9C-470D-AF27-6864E98B43BD}"/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1F79-1672-420A-BEAA-BAB7BD0F6370}">
  <dimension ref="B1:G19"/>
  <sheetViews>
    <sheetView tabSelected="1" workbookViewId="0">
      <selection activeCell="G16" sqref="G16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</cols>
  <sheetData>
    <row r="1" spans="2:7" ht="15" thickBot="1" x14ac:dyDescent="0.35"/>
    <row r="2" spans="2:7" ht="18" thickBot="1" x14ac:dyDescent="0.35">
      <c r="B2" s="22" t="s">
        <v>8</v>
      </c>
      <c r="C2" s="23"/>
      <c r="D2" s="23"/>
      <c r="E2" s="23"/>
      <c r="F2" s="23"/>
      <c r="G2" s="24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6" t="s">
        <v>33</v>
      </c>
      <c r="E4" s="6" t="s">
        <v>32</v>
      </c>
      <c r="F4" s="6" t="s">
        <v>34</v>
      </c>
      <c r="G4" s="4" t="s">
        <v>35</v>
      </c>
    </row>
    <row r="5" spans="2:7" x14ac:dyDescent="0.3">
      <c r="B5" s="7" t="s">
        <v>12</v>
      </c>
      <c r="C5" s="8">
        <v>0.28000000000000003</v>
      </c>
      <c r="D5" s="14">
        <v>1.1294348000000001</v>
      </c>
      <c r="E5" s="17"/>
      <c r="F5" s="13">
        <f>D5+(D5*E5)</f>
        <v>1.1294348000000001</v>
      </c>
      <c r="G5" s="12">
        <f>D5*C5</f>
        <v>0.31624174400000005</v>
      </c>
    </row>
    <row r="6" spans="2:7" x14ac:dyDescent="0.3">
      <c r="B6" s="7" t="s">
        <v>13</v>
      </c>
      <c r="C6" s="8">
        <v>0.1</v>
      </c>
      <c r="D6" s="14">
        <v>7.6</v>
      </c>
      <c r="E6" s="17">
        <v>0.06</v>
      </c>
      <c r="F6" s="13">
        <f t="shared" ref="F6:F12" si="0">D6+(D6*E6)</f>
        <v>8.0559999999999992</v>
      </c>
      <c r="G6" s="12">
        <f t="shared" ref="G6:G12" si="1">D6*C6</f>
        <v>0.76</v>
      </c>
    </row>
    <row r="7" spans="2:7" x14ac:dyDescent="0.3">
      <c r="B7" s="7" t="s">
        <v>14</v>
      </c>
      <c r="C7" s="8">
        <v>0.1</v>
      </c>
      <c r="D7" s="14">
        <v>4.2</v>
      </c>
      <c r="E7" s="17">
        <v>0.06</v>
      </c>
      <c r="F7" s="13">
        <f t="shared" si="0"/>
        <v>4.452</v>
      </c>
      <c r="G7" s="12">
        <f t="shared" si="1"/>
        <v>0.42000000000000004</v>
      </c>
    </row>
    <row r="8" spans="2:7" x14ac:dyDescent="0.3">
      <c r="B8" s="7" t="s">
        <v>15</v>
      </c>
      <c r="C8" s="8">
        <v>0.1</v>
      </c>
      <c r="D8" s="14">
        <v>4.4000000000000004</v>
      </c>
      <c r="E8" s="17">
        <v>0.06</v>
      </c>
      <c r="F8" s="13">
        <f t="shared" si="0"/>
        <v>4.6640000000000006</v>
      </c>
      <c r="G8" s="12">
        <f t="shared" si="1"/>
        <v>0.44000000000000006</v>
      </c>
    </row>
    <row r="9" spans="2:7" x14ac:dyDescent="0.3">
      <c r="B9" s="7" t="s">
        <v>16</v>
      </c>
      <c r="C9" s="8">
        <v>0.05</v>
      </c>
      <c r="D9" s="14">
        <v>1.1000000000000001</v>
      </c>
      <c r="E9" s="17">
        <v>0.06</v>
      </c>
      <c r="F9" s="13">
        <f t="shared" si="0"/>
        <v>1.1660000000000001</v>
      </c>
      <c r="G9" s="12">
        <f t="shared" si="1"/>
        <v>5.5000000000000007E-2</v>
      </c>
    </row>
    <row r="10" spans="2:7" x14ac:dyDescent="0.3">
      <c r="B10" s="7" t="s">
        <v>17</v>
      </c>
      <c r="C10" s="8">
        <v>7.0000000000000001E-3</v>
      </c>
      <c r="D10" s="14"/>
      <c r="E10" s="17"/>
      <c r="F10" s="13">
        <f t="shared" si="0"/>
        <v>0</v>
      </c>
      <c r="G10" s="12">
        <f t="shared" si="1"/>
        <v>0</v>
      </c>
    </row>
    <row r="11" spans="2:7" x14ac:dyDescent="0.3">
      <c r="B11" s="7" t="s">
        <v>18</v>
      </c>
      <c r="C11" s="8">
        <v>5.0000000000000001E-3</v>
      </c>
      <c r="D11" s="14">
        <v>3.4</v>
      </c>
      <c r="E11" s="17">
        <v>0.06</v>
      </c>
      <c r="F11" s="13">
        <f t="shared" si="0"/>
        <v>3.6040000000000001</v>
      </c>
      <c r="G11" s="12">
        <f t="shared" si="1"/>
        <v>1.7000000000000001E-2</v>
      </c>
    </row>
    <row r="12" spans="2:7" ht="15" thickBot="1" x14ac:dyDescent="0.35">
      <c r="B12" s="7" t="s">
        <v>19</v>
      </c>
      <c r="C12" s="8">
        <v>3.5000000000000003E-2</v>
      </c>
      <c r="D12" s="14">
        <v>1.93598</v>
      </c>
      <c r="E12" s="17"/>
      <c r="F12" s="13">
        <f t="shared" si="0"/>
        <v>1.93598</v>
      </c>
      <c r="G12" s="12">
        <f t="shared" si="1"/>
        <v>6.7759300000000008E-2</v>
      </c>
    </row>
    <row r="13" spans="2:7" ht="15" thickTop="1" x14ac:dyDescent="0.3">
      <c r="B13" s="25" t="s">
        <v>6</v>
      </c>
      <c r="C13" s="26"/>
      <c r="D13" s="26"/>
      <c r="E13" s="26"/>
      <c r="F13" s="26"/>
      <c r="G13" s="10">
        <f>SUM(G5:G12)</f>
        <v>2.0760010440000003</v>
      </c>
    </row>
    <row r="14" spans="2:7" x14ac:dyDescent="0.3">
      <c r="B14" s="27" t="s">
        <v>2</v>
      </c>
      <c r="C14" s="28"/>
      <c r="D14" s="28"/>
      <c r="E14" s="28"/>
      <c r="F14" s="28"/>
      <c r="G14" s="11">
        <v>16</v>
      </c>
    </row>
    <row r="15" spans="2:7" x14ac:dyDescent="0.3">
      <c r="B15" s="29" t="s">
        <v>7</v>
      </c>
      <c r="C15" s="30"/>
      <c r="D15" s="30"/>
      <c r="E15" s="30"/>
      <c r="F15" s="30"/>
      <c r="G15" s="11">
        <f>G14/1.13</f>
        <v>14.159292035398231</v>
      </c>
    </row>
    <row r="16" spans="2:7" ht="15" thickBot="1" x14ac:dyDescent="0.35">
      <c r="B16" s="18" t="s">
        <v>3</v>
      </c>
      <c r="C16" s="19"/>
      <c r="D16" s="19"/>
      <c r="E16" s="19"/>
      <c r="F16" s="19"/>
      <c r="G16" s="31">
        <f>G13/G15</f>
        <v>0.14661757373250001</v>
      </c>
    </row>
    <row r="17" spans="2:7" ht="15" thickTop="1" x14ac:dyDescent="0.3">
      <c r="B17" s="1"/>
      <c r="C17" s="1"/>
      <c r="D17" s="1"/>
      <c r="E17" s="1"/>
      <c r="F17" s="1"/>
      <c r="G17" s="1"/>
    </row>
    <row r="18" spans="2:7" x14ac:dyDescent="0.3">
      <c r="B18" s="20" t="s">
        <v>4</v>
      </c>
      <c r="C18" s="20"/>
      <c r="D18" s="20"/>
      <c r="E18" s="20"/>
      <c r="F18" s="20"/>
      <c r="G18" s="20"/>
    </row>
    <row r="19" spans="2:7" x14ac:dyDescent="0.3">
      <c r="B19" s="21" t="s">
        <v>5</v>
      </c>
      <c r="C19" s="21"/>
      <c r="D19" s="21"/>
      <c r="E19" s="21"/>
      <c r="F19" s="21"/>
      <c r="G19" s="21"/>
    </row>
  </sheetData>
  <mergeCells count="7">
    <mergeCell ref="B16:F16"/>
    <mergeCell ref="B18:G18"/>
    <mergeCell ref="B19:G19"/>
    <mergeCell ref="B2:G2"/>
    <mergeCell ref="B13:F13"/>
    <mergeCell ref="B14:F14"/>
    <mergeCell ref="B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91CD-CA1E-4CB6-9492-918A19D4DC55}">
  <dimension ref="B1:G19"/>
  <sheetViews>
    <sheetView workbookViewId="0">
      <selection activeCell="G16" sqref="G16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</cols>
  <sheetData>
    <row r="1" spans="2:7" ht="15" thickBot="1" x14ac:dyDescent="0.35"/>
    <row r="2" spans="2:7" ht="18" thickBot="1" x14ac:dyDescent="0.35">
      <c r="B2" s="22" t="s">
        <v>9</v>
      </c>
      <c r="C2" s="23"/>
      <c r="D2" s="23"/>
      <c r="E2" s="23"/>
      <c r="F2" s="23"/>
      <c r="G2" s="24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6" t="s">
        <v>33</v>
      </c>
      <c r="E4" s="6" t="s">
        <v>32</v>
      </c>
      <c r="F4" s="6" t="s">
        <v>34</v>
      </c>
      <c r="G4" s="4" t="s">
        <v>35</v>
      </c>
    </row>
    <row r="5" spans="2:7" x14ac:dyDescent="0.3">
      <c r="B5" s="7" t="s">
        <v>12</v>
      </c>
      <c r="C5" s="8">
        <v>0.28000000000000003</v>
      </c>
      <c r="D5" s="14">
        <v>1.1294348000000001</v>
      </c>
      <c r="E5" s="17"/>
      <c r="F5" s="13">
        <f>D5+(D5*E5)</f>
        <v>1.1294348000000001</v>
      </c>
      <c r="G5" s="12">
        <f>D5*C5</f>
        <v>0.31624174400000005</v>
      </c>
    </row>
    <row r="6" spans="2:7" x14ac:dyDescent="0.3">
      <c r="B6" s="7" t="s">
        <v>20</v>
      </c>
      <c r="C6" s="8">
        <v>0.09</v>
      </c>
      <c r="D6" s="14">
        <v>14</v>
      </c>
      <c r="E6" s="17">
        <v>0.06</v>
      </c>
      <c r="F6" s="13">
        <f t="shared" ref="F6:F12" si="0">D6+(D6*E6)</f>
        <v>14.84</v>
      </c>
      <c r="G6" s="12">
        <f t="shared" ref="G6:G12" si="1">D6*C6</f>
        <v>1.26</v>
      </c>
    </row>
    <row r="7" spans="2:7" x14ac:dyDescent="0.3">
      <c r="B7" s="7" t="s">
        <v>21</v>
      </c>
      <c r="C7" s="8">
        <v>8.5000000000000006E-2</v>
      </c>
      <c r="D7" s="14">
        <v>4.1494</v>
      </c>
      <c r="E7" s="17"/>
      <c r="F7" s="13">
        <f t="shared" si="0"/>
        <v>4.1494</v>
      </c>
      <c r="G7" s="12">
        <f t="shared" si="1"/>
        <v>0.35269900000000004</v>
      </c>
    </row>
    <row r="8" spans="2:7" x14ac:dyDescent="0.3">
      <c r="B8" s="7" t="s">
        <v>16</v>
      </c>
      <c r="C8" s="8">
        <v>0.04</v>
      </c>
      <c r="D8" s="14">
        <v>1.1000000000000001</v>
      </c>
      <c r="E8" s="17">
        <v>0.06</v>
      </c>
      <c r="F8" s="13">
        <f t="shared" si="0"/>
        <v>1.1660000000000001</v>
      </c>
      <c r="G8" s="12">
        <f t="shared" si="1"/>
        <v>4.4000000000000004E-2</v>
      </c>
    </row>
    <row r="9" spans="2:7" x14ac:dyDescent="0.3">
      <c r="B9" s="7" t="s">
        <v>22</v>
      </c>
      <c r="C9" s="8">
        <v>0.06</v>
      </c>
      <c r="D9" s="14">
        <v>4.05</v>
      </c>
      <c r="E9" s="17">
        <v>0.23</v>
      </c>
      <c r="F9" s="13">
        <f t="shared" si="0"/>
        <v>4.9814999999999996</v>
      </c>
      <c r="G9" s="12">
        <f t="shared" si="1"/>
        <v>0.24299999999999999</v>
      </c>
    </row>
    <row r="10" spans="2:7" x14ac:dyDescent="0.3">
      <c r="B10" s="7" t="s">
        <v>36</v>
      </c>
      <c r="C10" s="8">
        <v>1E-3</v>
      </c>
      <c r="D10" s="14">
        <v>118</v>
      </c>
      <c r="E10" s="17">
        <v>0.23</v>
      </c>
      <c r="F10" s="13">
        <f t="shared" si="0"/>
        <v>145.13999999999999</v>
      </c>
      <c r="G10" s="12">
        <f t="shared" si="1"/>
        <v>0.11800000000000001</v>
      </c>
    </row>
    <row r="11" spans="2:7" x14ac:dyDescent="0.3">
      <c r="B11" s="7" t="s">
        <v>37</v>
      </c>
      <c r="C11" s="8">
        <v>1E-3</v>
      </c>
      <c r="D11" s="14">
        <v>17.13</v>
      </c>
      <c r="E11" s="17">
        <v>0.23</v>
      </c>
      <c r="F11" s="13">
        <f>D11+(D11*E11)</f>
        <v>21.069899999999997</v>
      </c>
      <c r="G11" s="12">
        <f t="shared" si="1"/>
        <v>1.7129999999999999E-2</v>
      </c>
    </row>
    <row r="12" spans="2:7" ht="15" thickBot="1" x14ac:dyDescent="0.35">
      <c r="B12" s="7" t="s">
        <v>23</v>
      </c>
      <c r="C12" s="8">
        <v>3.5000000000000003E-2</v>
      </c>
      <c r="D12" s="14">
        <v>4.5109599999999999</v>
      </c>
      <c r="E12" s="17"/>
      <c r="F12" s="13">
        <f t="shared" si="0"/>
        <v>4.5109599999999999</v>
      </c>
      <c r="G12" s="12">
        <f t="shared" si="1"/>
        <v>0.15788360000000001</v>
      </c>
    </row>
    <row r="13" spans="2:7" ht="15" thickTop="1" x14ac:dyDescent="0.3">
      <c r="B13" s="25" t="s">
        <v>6</v>
      </c>
      <c r="C13" s="26"/>
      <c r="D13" s="26"/>
      <c r="E13" s="26"/>
      <c r="F13" s="26"/>
      <c r="G13" s="15">
        <f>SUM(G5:G12)</f>
        <v>2.5089543439999997</v>
      </c>
    </row>
    <row r="14" spans="2:7" x14ac:dyDescent="0.3">
      <c r="B14" s="27" t="s">
        <v>2</v>
      </c>
      <c r="C14" s="28"/>
      <c r="D14" s="28"/>
      <c r="E14" s="28"/>
      <c r="F14" s="28"/>
      <c r="G14" s="16">
        <v>16</v>
      </c>
    </row>
    <row r="15" spans="2:7" x14ac:dyDescent="0.3">
      <c r="B15" s="29" t="s">
        <v>7</v>
      </c>
      <c r="C15" s="30"/>
      <c r="D15" s="30"/>
      <c r="E15" s="30"/>
      <c r="F15" s="30"/>
      <c r="G15" s="11">
        <f>G14/1.13</f>
        <v>14.159292035398231</v>
      </c>
    </row>
    <row r="16" spans="2:7" ht="15" thickBot="1" x14ac:dyDescent="0.35">
      <c r="B16" s="18" t="s">
        <v>3</v>
      </c>
      <c r="C16" s="19"/>
      <c r="D16" s="19"/>
      <c r="E16" s="19"/>
      <c r="F16" s="19"/>
      <c r="G16" s="31">
        <f>G13/G15</f>
        <v>0.17719490054499998</v>
      </c>
    </row>
    <row r="17" spans="2:7" ht="15" thickTop="1" x14ac:dyDescent="0.3">
      <c r="B17" s="1"/>
      <c r="C17" s="1"/>
      <c r="D17" s="1"/>
      <c r="E17" s="1"/>
      <c r="F17" s="1"/>
      <c r="G17" s="1"/>
    </row>
    <row r="18" spans="2:7" x14ac:dyDescent="0.3">
      <c r="B18" s="20" t="s">
        <v>4</v>
      </c>
      <c r="C18" s="20"/>
      <c r="D18" s="20"/>
      <c r="E18" s="20"/>
      <c r="F18" s="20"/>
      <c r="G18" s="20"/>
    </row>
    <row r="19" spans="2:7" x14ac:dyDescent="0.3">
      <c r="B19" s="21" t="s">
        <v>5</v>
      </c>
      <c r="C19" s="21"/>
      <c r="D19" s="21"/>
      <c r="E19" s="21"/>
      <c r="F19" s="21"/>
      <c r="G19" s="21"/>
    </row>
  </sheetData>
  <mergeCells count="7">
    <mergeCell ref="B16:F16"/>
    <mergeCell ref="B18:G18"/>
    <mergeCell ref="B19:G19"/>
    <mergeCell ref="B2:G2"/>
    <mergeCell ref="B13:F13"/>
    <mergeCell ref="B14:F14"/>
    <mergeCell ref="B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DAD3-8ED6-44F1-99F0-FD50FFF50BB8}">
  <dimension ref="B1:G21"/>
  <sheetViews>
    <sheetView workbookViewId="0">
      <selection activeCell="G18" sqref="G18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</cols>
  <sheetData>
    <row r="1" spans="2:7" ht="15" thickBot="1" x14ac:dyDescent="0.35"/>
    <row r="2" spans="2:7" ht="18" thickBot="1" x14ac:dyDescent="0.35">
      <c r="B2" s="22" t="s">
        <v>10</v>
      </c>
      <c r="C2" s="23"/>
      <c r="D2" s="23"/>
      <c r="E2" s="23"/>
      <c r="F2" s="23"/>
      <c r="G2" s="24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6" t="s">
        <v>33</v>
      </c>
      <c r="E4" s="6" t="s">
        <v>32</v>
      </c>
      <c r="F4" s="6" t="s">
        <v>34</v>
      </c>
      <c r="G4" s="4" t="s">
        <v>35</v>
      </c>
    </row>
    <row r="5" spans="2:7" x14ac:dyDescent="0.3">
      <c r="B5" s="7" t="s">
        <v>12</v>
      </c>
      <c r="C5" s="8">
        <v>0.28000000000000003</v>
      </c>
      <c r="D5" s="8">
        <v>1.1294348000000001</v>
      </c>
      <c r="E5" s="17"/>
      <c r="F5" s="9">
        <f>D5+(D5*E5)</f>
        <v>1.1294348000000001</v>
      </c>
      <c r="G5" s="12">
        <f>D5*C5</f>
        <v>0.31624174400000005</v>
      </c>
    </row>
    <row r="6" spans="2:7" x14ac:dyDescent="0.3">
      <c r="B6" s="7" t="s">
        <v>25</v>
      </c>
      <c r="C6" s="8">
        <v>0.15</v>
      </c>
      <c r="D6" s="8">
        <v>4.0190000000000001</v>
      </c>
      <c r="E6" s="17">
        <v>0.06</v>
      </c>
      <c r="F6" s="9">
        <f t="shared" ref="F6:F14" si="0">D6+(D6*E6)</f>
        <v>4.2601399999999998</v>
      </c>
      <c r="G6" s="12">
        <f t="shared" ref="G6:G14" si="1">D6*C6</f>
        <v>0.60285</v>
      </c>
    </row>
    <row r="7" spans="2:7" x14ac:dyDescent="0.3">
      <c r="B7" s="7" t="s">
        <v>24</v>
      </c>
      <c r="C7" s="8">
        <v>6.5000000000000002E-2</v>
      </c>
      <c r="D7" s="8">
        <v>4.63</v>
      </c>
      <c r="E7" s="17">
        <v>0.06</v>
      </c>
      <c r="F7" s="9">
        <f t="shared" si="0"/>
        <v>4.9077999999999999</v>
      </c>
      <c r="G7" s="12">
        <f t="shared" si="1"/>
        <v>0.30095</v>
      </c>
    </row>
    <row r="8" spans="2:7" x14ac:dyDescent="0.3">
      <c r="B8" s="7" t="s">
        <v>21</v>
      </c>
      <c r="C8" s="8">
        <v>8.5000000000000006E-2</v>
      </c>
      <c r="D8" s="8">
        <v>4.1494</v>
      </c>
      <c r="E8" s="17"/>
      <c r="F8" s="9">
        <f t="shared" si="0"/>
        <v>4.1494</v>
      </c>
      <c r="G8" s="12">
        <f t="shared" si="1"/>
        <v>0.35269900000000004</v>
      </c>
    </row>
    <row r="9" spans="2:7" x14ac:dyDescent="0.3">
      <c r="B9" s="7" t="s">
        <v>26</v>
      </c>
      <c r="C9" s="8">
        <v>0.06</v>
      </c>
      <c r="D9" s="8">
        <v>2.4</v>
      </c>
      <c r="E9" s="17">
        <v>0.06</v>
      </c>
      <c r="F9" s="9">
        <f t="shared" si="0"/>
        <v>2.544</v>
      </c>
      <c r="G9" s="12">
        <f t="shared" si="1"/>
        <v>0.14399999999999999</v>
      </c>
    </row>
    <row r="10" spans="2:7" x14ac:dyDescent="0.3">
      <c r="B10" s="7" t="s">
        <v>41</v>
      </c>
      <c r="C10" s="8">
        <v>0.06</v>
      </c>
      <c r="D10" s="8">
        <v>1.44</v>
      </c>
      <c r="E10" s="17">
        <v>0.23</v>
      </c>
      <c r="F10" s="9">
        <f>D10+(D10*E10)</f>
        <v>1.7711999999999999</v>
      </c>
      <c r="G10" s="12">
        <f t="shared" si="1"/>
        <v>8.6399999999999991E-2</v>
      </c>
    </row>
    <row r="11" spans="2:7" x14ac:dyDescent="0.3">
      <c r="B11" s="7" t="s">
        <v>27</v>
      </c>
      <c r="C11" s="8">
        <v>1E-3</v>
      </c>
      <c r="D11" s="8">
        <v>2.8</v>
      </c>
      <c r="E11" s="17">
        <v>0.06</v>
      </c>
      <c r="F11" s="9">
        <f t="shared" si="0"/>
        <v>2.968</v>
      </c>
      <c r="G11" s="12">
        <f t="shared" si="1"/>
        <v>2.8E-3</v>
      </c>
    </row>
    <row r="12" spans="2:7" x14ac:dyDescent="0.3">
      <c r="B12" s="7" t="s">
        <v>39</v>
      </c>
      <c r="C12" s="8">
        <v>1E-3</v>
      </c>
      <c r="D12" s="8">
        <v>4.95</v>
      </c>
      <c r="E12" s="17">
        <v>0.06</v>
      </c>
      <c r="F12" s="9">
        <f>D12+(D12*E12)</f>
        <v>5.2469999999999999</v>
      </c>
      <c r="G12" s="12">
        <f t="shared" si="1"/>
        <v>4.9500000000000004E-3</v>
      </c>
    </row>
    <row r="13" spans="2:7" x14ac:dyDescent="0.3">
      <c r="B13" s="7" t="s">
        <v>40</v>
      </c>
      <c r="C13" s="8">
        <v>1E-3</v>
      </c>
      <c r="D13" s="8">
        <v>4.2229999999999999</v>
      </c>
      <c r="E13" s="17">
        <v>0.06</v>
      </c>
      <c r="F13" s="9">
        <f>D13+(D13*E13)</f>
        <v>4.4763799999999998</v>
      </c>
      <c r="G13" s="12">
        <f t="shared" si="1"/>
        <v>4.2230000000000002E-3</v>
      </c>
    </row>
    <row r="14" spans="2:7" ht="15" thickBot="1" x14ac:dyDescent="0.35">
      <c r="B14" s="7" t="s">
        <v>38</v>
      </c>
      <c r="C14" s="8">
        <v>3.5000000000000001E-3</v>
      </c>
      <c r="D14" s="8">
        <v>11.5</v>
      </c>
      <c r="E14" s="17">
        <v>0.23</v>
      </c>
      <c r="F14" s="9">
        <f t="shared" si="0"/>
        <v>14.145</v>
      </c>
      <c r="G14" s="12">
        <f t="shared" si="1"/>
        <v>4.0250000000000001E-2</v>
      </c>
    </row>
    <row r="15" spans="2:7" ht="15" thickTop="1" x14ac:dyDescent="0.3">
      <c r="B15" s="25" t="s">
        <v>6</v>
      </c>
      <c r="C15" s="26"/>
      <c r="D15" s="26"/>
      <c r="E15" s="26"/>
      <c r="F15" s="26"/>
      <c r="G15" s="15">
        <f>SUM(G5:G14)</f>
        <v>1.8553637439999999</v>
      </c>
    </row>
    <row r="16" spans="2:7" x14ac:dyDescent="0.3">
      <c r="B16" s="27" t="s">
        <v>2</v>
      </c>
      <c r="C16" s="28"/>
      <c r="D16" s="28"/>
      <c r="E16" s="28"/>
      <c r="F16" s="28"/>
      <c r="G16" s="16">
        <v>16</v>
      </c>
    </row>
    <row r="17" spans="2:7" x14ac:dyDescent="0.3">
      <c r="B17" s="29" t="s">
        <v>7</v>
      </c>
      <c r="C17" s="30"/>
      <c r="D17" s="30"/>
      <c r="E17" s="30"/>
      <c r="F17" s="30"/>
      <c r="G17" s="11">
        <f>G16/1.13</f>
        <v>14.159292035398231</v>
      </c>
    </row>
    <row r="18" spans="2:7" ht="15" thickBot="1" x14ac:dyDescent="0.35">
      <c r="B18" s="18" t="s">
        <v>3</v>
      </c>
      <c r="C18" s="19"/>
      <c r="D18" s="19"/>
      <c r="E18" s="19"/>
      <c r="F18" s="19"/>
      <c r="G18" s="31">
        <f>G15/G17</f>
        <v>0.13103506441999999</v>
      </c>
    </row>
    <row r="19" spans="2:7" ht="15" thickTop="1" x14ac:dyDescent="0.3">
      <c r="B19" s="1"/>
      <c r="C19" s="1"/>
      <c r="D19" s="1"/>
      <c r="E19" s="1"/>
      <c r="F19" s="1"/>
      <c r="G19" s="1"/>
    </row>
    <row r="20" spans="2:7" x14ac:dyDescent="0.3">
      <c r="B20" s="20" t="s">
        <v>4</v>
      </c>
      <c r="C20" s="20"/>
      <c r="D20" s="20"/>
      <c r="E20" s="20"/>
      <c r="F20" s="20"/>
      <c r="G20" s="20"/>
    </row>
    <row r="21" spans="2:7" x14ac:dyDescent="0.3">
      <c r="B21" s="21" t="s">
        <v>5</v>
      </c>
      <c r="C21" s="21"/>
      <c r="D21" s="21"/>
      <c r="E21" s="21"/>
      <c r="F21" s="21"/>
      <c r="G21" s="21"/>
    </row>
  </sheetData>
  <mergeCells count="7">
    <mergeCell ref="B18:F18"/>
    <mergeCell ref="B20:G20"/>
    <mergeCell ref="B21:G21"/>
    <mergeCell ref="B2:G2"/>
    <mergeCell ref="B15:F15"/>
    <mergeCell ref="B16:F16"/>
    <mergeCell ref="B17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7D78-209A-4DAD-A191-83AA6220EC58}">
  <dimension ref="B1:G18"/>
  <sheetViews>
    <sheetView workbookViewId="0">
      <selection activeCell="G15" sqref="G15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</cols>
  <sheetData>
    <row r="1" spans="2:7" ht="15" thickBot="1" x14ac:dyDescent="0.35"/>
    <row r="2" spans="2:7" ht="18" thickBot="1" x14ac:dyDescent="0.35">
      <c r="B2" s="22" t="s">
        <v>11</v>
      </c>
      <c r="C2" s="23"/>
      <c r="D2" s="23"/>
      <c r="E2" s="23"/>
      <c r="F2" s="23"/>
      <c r="G2" s="24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6" t="s">
        <v>33</v>
      </c>
      <c r="E4" s="6" t="s">
        <v>32</v>
      </c>
      <c r="F4" s="6" t="s">
        <v>34</v>
      </c>
      <c r="G4" s="4" t="s">
        <v>35</v>
      </c>
    </row>
    <row r="5" spans="2:7" x14ac:dyDescent="0.3">
      <c r="B5" s="7" t="s">
        <v>12</v>
      </c>
      <c r="C5" s="8">
        <v>0.28000000000000003</v>
      </c>
      <c r="D5" s="14">
        <v>1.1294348000000001</v>
      </c>
      <c r="E5" s="17">
        <v>0.13</v>
      </c>
      <c r="F5" s="13">
        <f>D5+(D5*E5)</f>
        <v>1.276261324</v>
      </c>
      <c r="G5" s="12">
        <f>C5*D5</f>
        <v>0.31624174400000005</v>
      </c>
    </row>
    <row r="6" spans="2:7" x14ac:dyDescent="0.3">
      <c r="B6" s="7" t="s">
        <v>13</v>
      </c>
      <c r="C6" s="8">
        <v>0.1</v>
      </c>
      <c r="D6" s="14">
        <v>7.6</v>
      </c>
      <c r="E6" s="17">
        <v>0.06</v>
      </c>
      <c r="F6" s="13">
        <f t="shared" ref="F6:F11" si="0">D6+(D6*E6)</f>
        <v>8.0559999999999992</v>
      </c>
      <c r="G6" s="12">
        <f t="shared" ref="G6:G11" si="1">C6*D6</f>
        <v>0.76</v>
      </c>
    </row>
    <row r="7" spans="2:7" x14ac:dyDescent="0.3">
      <c r="B7" s="7" t="s">
        <v>28</v>
      </c>
      <c r="C7" s="8">
        <v>7.4999999999999997E-2</v>
      </c>
      <c r="D7" s="14">
        <v>4.8</v>
      </c>
      <c r="E7" s="17">
        <v>0.06</v>
      </c>
      <c r="F7" s="13">
        <f t="shared" si="0"/>
        <v>5.0880000000000001</v>
      </c>
      <c r="G7" s="12">
        <f t="shared" si="1"/>
        <v>0.36</v>
      </c>
    </row>
    <row r="8" spans="2:7" x14ac:dyDescent="0.3">
      <c r="B8" s="7" t="s">
        <v>29</v>
      </c>
      <c r="C8" s="8">
        <v>0.03</v>
      </c>
      <c r="D8" s="14">
        <v>4.93</v>
      </c>
      <c r="E8" s="17">
        <v>0.06</v>
      </c>
      <c r="F8" s="13">
        <f t="shared" si="0"/>
        <v>5.2257999999999996</v>
      </c>
      <c r="G8" s="12">
        <f t="shared" si="1"/>
        <v>0.14789999999999998</v>
      </c>
    </row>
    <row r="9" spans="2:7" x14ac:dyDescent="0.3">
      <c r="B9" s="7" t="s">
        <v>15</v>
      </c>
      <c r="C9" s="8">
        <v>0.1</v>
      </c>
      <c r="D9" s="14">
        <v>4.4000000000000004</v>
      </c>
      <c r="E9" s="17">
        <v>0.06</v>
      </c>
      <c r="F9" s="13">
        <f t="shared" si="0"/>
        <v>4.6640000000000006</v>
      </c>
      <c r="G9" s="12">
        <f t="shared" si="1"/>
        <v>0.44000000000000006</v>
      </c>
    </row>
    <row r="10" spans="2:7" x14ac:dyDescent="0.3">
      <c r="B10" s="7" t="s">
        <v>30</v>
      </c>
      <c r="C10" s="8">
        <v>2.5000000000000001E-2</v>
      </c>
      <c r="D10" s="14">
        <v>5.0599999999999996</v>
      </c>
      <c r="E10" s="17">
        <v>0.23</v>
      </c>
      <c r="F10" s="13">
        <f t="shared" si="0"/>
        <v>6.2237999999999998</v>
      </c>
      <c r="G10" s="12">
        <f t="shared" si="1"/>
        <v>0.1265</v>
      </c>
    </row>
    <row r="11" spans="2:7" ht="15" thickBot="1" x14ac:dyDescent="0.35">
      <c r="B11" s="7" t="s">
        <v>31</v>
      </c>
      <c r="C11" s="8">
        <v>3.5000000000000003E-2</v>
      </c>
      <c r="D11" s="14"/>
      <c r="E11" s="17"/>
      <c r="F11" s="13">
        <f t="shared" si="0"/>
        <v>0</v>
      </c>
      <c r="G11" s="12">
        <f t="shared" si="1"/>
        <v>0</v>
      </c>
    </row>
    <row r="12" spans="2:7" ht="15" thickTop="1" x14ac:dyDescent="0.3">
      <c r="B12" s="25" t="s">
        <v>6</v>
      </c>
      <c r="C12" s="26"/>
      <c r="D12" s="26"/>
      <c r="E12" s="26"/>
      <c r="F12" s="26"/>
      <c r="G12" s="15">
        <f>SUM(G5:G11)</f>
        <v>2.1506417440000001</v>
      </c>
    </row>
    <row r="13" spans="2:7" x14ac:dyDescent="0.3">
      <c r="B13" s="27" t="s">
        <v>2</v>
      </c>
      <c r="C13" s="28"/>
      <c r="D13" s="28"/>
      <c r="E13" s="28"/>
      <c r="F13" s="28"/>
      <c r="G13" s="16">
        <v>16</v>
      </c>
    </row>
    <row r="14" spans="2:7" x14ac:dyDescent="0.3">
      <c r="B14" s="29" t="s">
        <v>7</v>
      </c>
      <c r="C14" s="30"/>
      <c r="D14" s="30"/>
      <c r="E14" s="30"/>
      <c r="F14" s="30"/>
      <c r="G14" s="11">
        <f>G13/1.13</f>
        <v>14.159292035398231</v>
      </c>
    </row>
    <row r="15" spans="2:7" ht="15" thickBot="1" x14ac:dyDescent="0.35">
      <c r="B15" s="18" t="s">
        <v>3</v>
      </c>
      <c r="C15" s="19"/>
      <c r="D15" s="19"/>
      <c r="E15" s="19"/>
      <c r="F15" s="19"/>
      <c r="G15" s="31">
        <f>G12/G14</f>
        <v>0.15188907317</v>
      </c>
    </row>
    <row r="16" spans="2:7" ht="15" thickTop="1" x14ac:dyDescent="0.3">
      <c r="B16" s="1"/>
      <c r="C16" s="1"/>
      <c r="D16" s="1"/>
      <c r="E16" s="1"/>
      <c r="F16" s="1"/>
      <c r="G16" s="1"/>
    </row>
    <row r="17" spans="2:7" x14ac:dyDescent="0.3">
      <c r="B17" s="20" t="s">
        <v>4</v>
      </c>
      <c r="C17" s="20"/>
      <c r="D17" s="20"/>
      <c r="E17" s="20"/>
      <c r="F17" s="20"/>
      <c r="G17" s="20"/>
    </row>
    <row r="18" spans="2:7" x14ac:dyDescent="0.3">
      <c r="B18" s="21" t="s">
        <v>5</v>
      </c>
      <c r="C18" s="21"/>
      <c r="D18" s="21"/>
      <c r="E18" s="21"/>
      <c r="F18" s="21"/>
      <c r="G18" s="21"/>
    </row>
  </sheetData>
  <mergeCells count="7">
    <mergeCell ref="B15:F15"/>
    <mergeCell ref="B17:G17"/>
    <mergeCell ref="B18:G18"/>
    <mergeCell ref="B2:G2"/>
    <mergeCell ref="B12:F12"/>
    <mergeCell ref="B13:F13"/>
    <mergeCell ref="B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Fresh "Ribeira"</vt:lpstr>
      <vt:lpstr>Spicy "Cave"</vt:lpstr>
      <vt:lpstr>Veggie "Reef"</vt:lpstr>
      <vt:lpstr>Cream "Coxos"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Ribas</dc:creator>
  <cp:lastModifiedBy>Nuno Ribas</cp:lastModifiedBy>
  <dcterms:created xsi:type="dcterms:W3CDTF">2026-06-15T20:17:15Z</dcterms:created>
  <dcterms:modified xsi:type="dcterms:W3CDTF">2026-08-04T12:29:57Z</dcterms:modified>
</cp:coreProperties>
</file>