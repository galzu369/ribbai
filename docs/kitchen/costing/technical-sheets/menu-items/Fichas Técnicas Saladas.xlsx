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Fichas Técnicas/"/>
    </mc:Choice>
  </mc:AlternateContent>
  <xr:revisionPtr revIDLastSave="5" documentId="13_ncr:1_{7654ED3F-F85A-4452-9509-958F4B449FB8}" xr6:coauthVersionLast="47" xr6:coauthVersionMax="47" xr10:uidLastSave="{6FD97FED-B18D-4D14-A650-D45D619E7D50}"/>
  <bookViews>
    <workbookView xWindow="-108" yWindow="-108" windowWidth="23256" windowHeight="12456" xr2:uid="{0296191B-74A3-455B-AF10-CE74ECF7B2AF}"/>
  </bookViews>
  <sheets>
    <sheet name="Burrata" sheetId="1" r:id="rId1"/>
    <sheet name="Caesar" sheetId="2" r:id="rId2"/>
    <sheet name="Camarão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<sst xmlns="http://schemas.openxmlformats.org/spreadsheetml/2006/main" count="64" uniqueCount="37">
  <si>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Ingredientes</t>
  </si>
  <si>
    <t>Quantidades</t>
  </si>
  <si>
    <t>Preço Venda c/Iva</t>
  </si>
  <si>
    <t>% food cost</t>
  </si>
  <si>
    <t xml:space="preserve">Preparação: </t>
  </si>
  <si>
    <t>SALADA DE BURRATA COM MOLHO DE FIGO</t>
  </si>
  <si>
    <t>SALADA CAMARÃO</t>
  </si>
  <si>
    <t>Camarão 30/40 Cong</t>
  </si>
  <si>
    <t>Azeite</t>
  </si>
  <si>
    <t>Custo Mercadoria s/Iva</t>
  </si>
  <si>
    <t>Preço Venda s/Iva</t>
  </si>
  <si>
    <t>SALADA CAESAR</t>
  </si>
  <si>
    <t>Salada Ibérica</t>
  </si>
  <si>
    <t>Tomate Cereja</t>
  </si>
  <si>
    <t>Cebola Roxa</t>
  </si>
  <si>
    <t>Burrata</t>
  </si>
  <si>
    <t>Alface Iceberg</t>
  </si>
  <si>
    <t>Peito Frango Cong</t>
  </si>
  <si>
    <t>Molho Caesar</t>
  </si>
  <si>
    <t>Alcaparras</t>
  </si>
  <si>
    <t>Massa Fusilli</t>
  </si>
  <si>
    <t>Manga</t>
  </si>
  <si>
    <t>Molho Iogurte</t>
  </si>
  <si>
    <t>Amêndoa Laminada</t>
  </si>
  <si>
    <t>Limão</t>
  </si>
  <si>
    <r>
      <t>Serviço:</t>
    </r>
    <r>
      <rPr>
        <sz val="11"/>
        <color theme="1"/>
        <rFont val="Arial"/>
        <family val="2"/>
      </rPr>
      <t xml:space="preserve"> </t>
    </r>
  </si>
  <si>
    <t>Molho de figo</t>
  </si>
  <si>
    <t>Preço s/ IVA</t>
  </si>
  <si>
    <t>IVA</t>
  </si>
  <si>
    <t>Preço c/ IVA</t>
  </si>
  <si>
    <t>Custo</t>
  </si>
  <si>
    <t>Bacon fatias</t>
  </si>
  <si>
    <t>Sal fino</t>
  </si>
  <si>
    <t>Croutons (dose)</t>
  </si>
  <si>
    <t>Queijo Grana Padano</t>
  </si>
  <si>
    <t>Sal grosso</t>
  </si>
  <si>
    <t>Pimenta preta grão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</si>
</sst>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 vertical="center"/>
    </xf>
    <xf numFmtId="10" fontId="4" fillId="0" borderId="0" xfId="1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2" borderId="17" xfId="0" applyFont="1" applyFill="1" applyBorder="1" applyAlignment="1">
      <alignment horizontal="center" vertical="center"/>
    </xf>
    <xf numFmtId="9" fontId="3" fillId="2" borderId="26" xfId="1" applyFont="1" applyFill="1" applyBorder="1" applyAlignment="1">
      <alignment vertical="center"/>
    </xf>
    <xf numFmtId="164" fontId="3" fillId="0" borderId="24" xfId="2" applyNumberFormat="1" applyFont="1" applyBorder="1" applyAlignment="1">
      <alignment horizontal="right" vertical="center"/>
    </xf>
    <xf numFmtId="164" fontId="3" fillId="0" borderId="25" xfId="2" applyNumberFormat="1" applyFont="1" applyBorder="1" applyAlignment="1">
      <alignment horizontal="right" vertical="center"/>
    </xf>
    <xf numFmtId="164" fontId="3" fillId="3" borderId="9" xfId="0" applyNumberFormat="1" applyFont="1" applyFill="1" applyBorder="1" applyAlignment="1">
      <alignment horizontal="right" vertical="center"/>
    </xf>
    <xf numFmtId="164" fontId="4" fillId="3" borderId="14" xfId="0" applyNumberFormat="1" applyFont="1" applyFill="1" applyBorder="1" applyAlignment="1">
      <alignment horizontal="right" vertical="center"/>
    </xf>
    <xf numFmtId="164" fontId="4" fillId="0" borderId="14" xfId="0" applyNumberFormat="1" applyFont="1" applyBorder="1" applyAlignment="1">
      <alignment horizontal="right" vertical="center"/>
    </xf>
    <xf numFmtId="164" fontId="4" fillId="0" borderId="16" xfId="0" applyNumberFormat="1" applyFont="1" applyBorder="1" applyAlignment="1">
      <alignment horizontal="right" vertical="center"/>
    </xf>
    <xf numFmtId="164" fontId="4" fillId="0" borderId="15" xfId="0" applyNumberFormat="1" applyFont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9" fontId="4" fillId="3" borderId="14" xfId="1" applyFont="1" applyFill="1" applyBorder="1" applyAlignment="1">
      <alignment horizontal="center" vertical="center"/>
    </xf>
    <xf numFmtId="9" fontId="4" fillId="0" borderId="14" xfId="1" applyFont="1" applyBorder="1" applyAlignment="1">
      <alignment horizontal="center" vertical="center"/>
    </xf>
    <xf numFmtId="0" fontId="4" fillId="0" borderId="13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9" fontId="4" fillId="0" borderId="15" xfId="1" applyFont="1" applyBorder="1" applyAlignment="1">
      <alignment horizontal="center" vertical="center"/>
    </xf>
    <xf numFmtId="9" fontId="4" fillId="0" borderId="16" xfId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</cellXfs>
  <cellStyles count="3">
    <cellStyle name="Moeda 2" xfId="2" xr:uid="{476E25D6-DF52-4986-A003-9258539F621C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DE8E-0B6B-4462-8CB9-51EF002B9026}">
  <dimension ref="B1:P19"/>
  <sheetViews>
    <sheetView tabSelected="1" workbookViewId="0">
      <selection activeCell="D5" sqref="D5:D12"/>
    </sheetView>
  </sheetViews>
  <sheetFormatPr defaultRowHeight="14.4" x14ac:dyDescent="0.3"/>
  <cols>
    <col min="1" max="1" width="8.88671875" style="3"/>
    <col min="2" max="2" width="20.77734375" style="3" customWidth="1"/>
    <col min="3" max="4" width="12.77734375" style="3" customWidth="1"/>
    <col min="5" max="5" width="6.77734375" style="3" customWidth="1"/>
    <col min="6" max="7" width="12.77734375" style="3" customWidth="1"/>
    <col min="8" max="8" width="8.88671875" style="3"/>
    <col min="15" max="16384" width="8.88671875" style="3"/>
  </cols>
  <sheetData>
    <row r="1" spans="2:16" ht="15" thickBot="1" x14ac:dyDescent="0.35"/>
    <row r="2" spans="2:16" ht="18" thickBot="1" x14ac:dyDescent="0.35">
      <c r="B2" s="32" t="s">
        <v>5</v>
      </c>
      <c r="C2" s="33"/>
      <c r="D2" s="33"/>
      <c r="E2" s="33"/>
      <c r="F2" s="33"/>
      <c r="G2" s="34"/>
      <c r="H2" s="4"/>
      <c r="O2" s="4"/>
      <c r="P2" s="4"/>
    </row>
    <row r="3" spans="2:16" ht="15" thickBot="1" x14ac:dyDescent="0.35">
      <c r="B3" s="4"/>
      <c r="C3" s="4"/>
      <c r="D3" s="4"/>
      <c r="E3" s="4"/>
      <c r="F3" s="4"/>
      <c r="G3" s="4"/>
      <c r="H3" s="4"/>
      <c r="O3" s="4"/>
      <c r="P3" s="4"/>
    </row>
    <row r="4" spans="2:16" ht="15" thickTop="1" x14ac:dyDescent="0.3">
      <c r="B4" s="5" t="s">
        <v>0</v>
      </c>
      <c r="C4" s="6" t="s">
        <v>1</v>
      </c>
      <c r="D4" s="14" t="s">
        <v>27</v>
      </c>
      <c r="E4" s="14" t="s">
        <v>28</v>
      </c>
      <c r="F4" s="14" t="s">
        <v>29</v>
      </c>
      <c r="G4" s="7" t="s">
        <v>30</v>
      </c>
      <c r="H4" s="4"/>
      <c r="O4" s="4"/>
      <c r="P4" s="4"/>
    </row>
    <row r="5" spans="2:16" x14ac:dyDescent="0.3">
      <c r="B5" s="8" t="s">
        <v>12</v>
      </c>
      <c r="C5" s="23">
        <v>0.06</v>
      </c>
      <c r="D5" s="19">
        <v>8.8</v>
      </c>
      <c r="E5" s="25">
        <v>0.06</v>
      </c>
      <c r="F5" s="19">
        <f>D5+(D5*E5)</f>
        <v>9.328000000000001</v>
      </c>
      <c r="G5" s="18">
        <f>C5*D5</f>
        <v>0.528</v>
      </c>
      <c r="H5" s="4"/>
      <c r="O5" s="4"/>
      <c r="P5" s="4"/>
    </row>
    <row r="6" spans="2:16" x14ac:dyDescent="0.3">
      <c r="B6" s="8" t="s">
        <v>13</v>
      </c>
      <c r="C6" s="23">
        <v>2.5000000000000001E-2</v>
      </c>
      <c r="D6" s="19">
        <v>4.6</v>
      </c>
      <c r="E6" s="25">
        <v>0.06</v>
      </c>
      <c r="F6" s="19">
        <f t="shared" ref="F6:F12" si="0">D6+(D6*E6)</f>
        <v>4.8759999999999994</v>
      </c>
      <c r="G6" s="18">
        <f t="shared" ref="G6:G12" si="1">C6*D6</f>
        <v>0.11499999999999999</v>
      </c>
      <c r="H6" s="4"/>
      <c r="O6" s="4"/>
      <c r="P6" s="4"/>
    </row>
    <row r="7" spans="2:16" x14ac:dyDescent="0.3">
      <c r="B7" s="8" t="s">
        <v>14</v>
      </c>
      <c r="C7" s="23">
        <v>0.02</v>
      </c>
      <c r="D7" s="19">
        <v>1.1</v>
      </c>
      <c r="E7" s="25">
        <v>0.06</v>
      </c>
      <c r="F7" s="19">
        <f t="shared" si="0"/>
        <v>1.1660000000000001</v>
      </c>
      <c r="G7" s="18">
        <f t="shared" si="1"/>
        <v>0.022000000000000002</v>
      </c>
      <c r="H7" s="4"/>
      <c r="O7" s="4"/>
      <c r="P7" s="4"/>
    </row>
    <row r="8" spans="2:16" x14ac:dyDescent="0.3">
      <c r="B8" s="8" t="s">
        <v>15</v>
      </c>
      <c r="C8" s="23">
        <v>1</v>
      </c>
      <c r="D8" s="19">
        <v>1.88</v>
      </c>
      <c r="E8" s="25">
        <v>0.06</v>
      </c>
      <c r="F8" s="19">
        <f t="shared" si="0"/>
        <v>1.9928</v>
      </c>
      <c r="G8" s="18">
        <f t="shared" si="1"/>
        <v>1.88</v>
      </c>
      <c r="H8" s="4"/>
      <c r="O8" s="4"/>
      <c r="P8" s="4"/>
    </row>
    <row r="9" spans="2:16" x14ac:dyDescent="0.3">
      <c r="B9" s="9" t="s">
        <v>31</v>
      </c>
      <c r="C9" s="24">
        <v>0.02</v>
      </c>
      <c r="D9" s="20">
        <v>4.585</v>
      </c>
      <c r="E9" s="26">
        <v>0.23</v>
      </c>
      <c r="F9" s="19">
        <f t="shared" si="0"/>
        <v>5.63955</v>
      </c>
      <c r="G9" s="18">
        <f t="shared" si="1"/>
        <v>0.0917</v>
      </c>
      <c r="H9" s="4"/>
      <c r="O9" s="4"/>
      <c r="P9" s="4"/>
    </row>
    <row r="10" spans="2:16" x14ac:dyDescent="0.3">
      <c r="B10" s="9" t="s">
        <v>26</v>
      </c>
      <c r="C10" s="24">
        <v>0.04</v>
      </c>
      <c r="D10" s="20">
        <v>3.9758700000000005</v>
      </c>
      <c r="E10" s="26">
        <v>0.13</v>
      </c>
      <c r="F10" s="19">
        <f t="shared" si="0"/>
        <v>4.492733100000001</v>
      </c>
      <c r="G10" s="18">
        <f t="shared" si="1"/>
        <v>0.15903480000000003</v>
      </c>
      <c r="H10" s="4"/>
      <c r="O10" s="4"/>
      <c r="P10" s="4"/>
    </row>
    <row r="11" spans="2:16" x14ac:dyDescent="0.3">
      <c r="B11" s="10" t="s">
        <v>8</v>
      </c>
      <c r="C11" s="24">
        <v>0.03</v>
      </c>
      <c r="D11" s="20">
        <v>2.98</v>
      </c>
      <c r="E11" s="26">
        <v>0.06</v>
      </c>
      <c r="F11" s="19">
        <f t="shared" si="0"/>
        <v>3.1588</v>
      </c>
      <c r="G11" s="18">
        <f t="shared" si="1"/>
        <v>0.0894</v>
      </c>
      <c r="H11" s="4"/>
      <c r="O11" s="4"/>
      <c r="P11" s="4"/>
    </row>
    <row r="12" spans="2:16" ht="15" thickBot="1" x14ac:dyDescent="0.35">
      <c r="B12" s="10" t="s">
        <v>32</v>
      </c>
      <c r="C12" s="24">
        <v>0.01</v>
      </c>
      <c r="D12" s="20">
        <v>1.4</v>
      </c>
      <c r="E12" s="26">
        <v>0.06</v>
      </c>
      <c r="F12" s="19">
        <f t="shared" si="0"/>
        <v>1.484</v>
      </c>
      <c r="G12" s="18">
        <f t="shared" si="1"/>
        <v>0.013999999999999999</v>
      </c>
      <c r="H12" s="4"/>
      <c r="O12" s="4"/>
      <c r="P12" s="4"/>
    </row>
    <row r="13" spans="2:16" ht="15" thickTop="1" x14ac:dyDescent="0.3">
      <c r="B13" s="36" t="s">
        <v>9</v>
      </c>
      <c r="C13" s="37"/>
      <c r="D13" s="37"/>
      <c r="E13" s="37"/>
      <c r="F13" s="45"/>
      <c r="G13" s="16">
        <f>SUM(G5:G12)</f>
        <v>2.8991347999999997</v>
      </c>
      <c r="H13" s="4"/>
      <c r="O13" s="4"/>
      <c r="P13" s="4"/>
    </row>
    <row r="14" spans="2:16" x14ac:dyDescent="0.3">
      <c r="B14" s="38" t="s">
        <v>2</v>
      </c>
      <c r="C14" s="39"/>
      <c r="D14" s="39"/>
      <c r="E14" s="39"/>
      <c r="F14" s="46"/>
      <c r="G14" s="17">
        <v>15</v>
      </c>
      <c r="H14" s="4"/>
      <c r="O14" s="4"/>
      <c r="P14" s="4"/>
    </row>
    <row r="15" spans="2:16" x14ac:dyDescent="0.3">
      <c r="B15" s="40" t="s">
        <v>10</v>
      </c>
      <c r="C15" s="41"/>
      <c r="D15" s="41"/>
      <c r="E15" s="41"/>
      <c r="F15" s="47"/>
      <c r="G15" s="17">
        <f>G14/1.13</f>
        <v>13.274336283185843</v>
      </c>
      <c r="H15" s="4"/>
      <c r="O15" s="4"/>
      <c r="P15" s="4"/>
    </row>
    <row r="16" spans="2:16" ht="15" customHeight="1" thickBot="1" x14ac:dyDescent="0.35">
      <c r="B16" s="42" t="s">
        <v>3</v>
      </c>
      <c r="C16" s="43"/>
      <c r="D16" s="43"/>
      <c r="E16" s="43"/>
      <c r="F16" s="44"/>
      <c r="G16" s="15">
        <f>G13/G15</f>
        <v>0.2184014882666666</v>
      </c>
      <c r="H16" s="11"/>
      <c r="O16" s="4"/>
      <c r="P16" s="4"/>
    </row>
    <row r="17" spans="2:16" ht="15" thickTop="1" x14ac:dyDescent="0.3">
      <c r="B17" s="4"/>
      <c r="C17" s="4"/>
      <c r="D17" s="4"/>
      <c r="E17" s="4"/>
      <c r="F17" s="4"/>
      <c r="G17" s="4"/>
      <c r="H17" s="4"/>
      <c r="O17" s="4"/>
      <c r="P17" s="4"/>
    </row>
    <row r="18" spans="2:16" x14ac:dyDescent="0.3">
      <c r="B18" s="12" t="s">
        <v>4</v>
      </c>
      <c r="C18" s="12"/>
      <c r="D18" s="12"/>
      <c r="E18" s="12"/>
      <c r="F18" s="12"/>
      <c r="G18" s="12"/>
      <c r="H18" s="12"/>
      <c r="O18" s="12"/>
      <c r="P18" s="12"/>
    </row>
    <row r="19" spans="2:16" x14ac:dyDescent="0.3">
      <c r="B19" s="13" t="s">
        <v>25</v>
      </c>
      <c r="C19" s="13"/>
      <c r="D19" s="13"/>
      <c r="E19" s="13"/>
      <c r="F19" s="13"/>
      <c r="G19" s="13"/>
      <c r="H19" s="13"/>
      <c r="O19" s="13"/>
      <c r="P19" s="13"/>
    </row>
  </sheetData>
  <mergeCells count="5">
    <mergeCell ref="B16:F16"/>
    <mergeCell ref="B2:G2"/>
    <mergeCell ref="B13:F13"/>
    <mergeCell ref="B14:F14"/>
    <mergeCell ref="B15:F1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D750-9AF6-40ED-845A-E048493B970D}">
  <dimension ref="B1:P20"/>
  <sheetViews>
    <sheetView workbookViewId="0">
      <selection activeCell="D5" sqref="D5:D13"/>
    </sheetView>
  </sheetViews>
  <sheetFormatPr defaultRowHeight="14.4" x14ac:dyDescent="0.3"/>
  <cols>
    <col min="1" max="1" width="8.88671875" style="3"/>
    <col min="2" max="2" width="20.77734375" style="3" customWidth="1"/>
    <col min="3" max="4" width="12.77734375" style="3" customWidth="1"/>
    <col min="5" max="5" width="6.77734375" style="3" customWidth="1"/>
    <col min="6" max="7" width="12.77734375" style="3" customWidth="1"/>
    <col min="8" max="8" width="8.88671875" style="3"/>
    <col min="15" max="16384" width="8.88671875" style="3"/>
  </cols>
  <sheetData>
    <row r="1" spans="2:16" ht="15" thickBot="1" x14ac:dyDescent="0.35"/>
    <row r="2" spans="2:16" ht="18" thickBot="1" x14ac:dyDescent="0.35">
      <c r="B2" s="32" t="s">
        <v>11</v>
      </c>
      <c r="C2" s="33"/>
      <c r="D2" s="33"/>
      <c r="E2" s="33"/>
      <c r="F2" s="33"/>
      <c r="G2" s="34"/>
      <c r="H2" s="4"/>
      <c r="O2" s="4"/>
      <c r="P2" s="4"/>
    </row>
    <row r="3" spans="2:16" ht="15" thickBot="1" x14ac:dyDescent="0.35">
      <c r="B3" s="4"/>
      <c r="C3" s="4"/>
      <c r="D3" s="4"/>
      <c r="E3" s="4"/>
      <c r="F3" s="4"/>
      <c r="G3" s="4"/>
      <c r="H3" s="4"/>
      <c r="O3" s="4"/>
      <c r="P3" s="4"/>
    </row>
    <row r="4" spans="2:16" ht="15" thickTop="1" x14ac:dyDescent="0.3">
      <c r="B4" s="5" t="s">
        <v>0</v>
      </c>
      <c r="C4" s="6" t="s">
        <v>1</v>
      </c>
      <c r="D4" s="14" t="s">
        <v>27</v>
      </c>
      <c r="E4" s="14" t="s">
        <v>28</v>
      </c>
      <c r="F4" s="14" t="s">
        <v>29</v>
      </c>
      <c r="G4" s="7" t="s">
        <v>30</v>
      </c>
      <c r="H4" s="4"/>
      <c r="O4" s="4"/>
      <c r="P4" s="4"/>
    </row>
    <row r="5" spans="2:16" x14ac:dyDescent="0.3">
      <c r="B5" s="8" t="s">
        <v>16</v>
      </c>
      <c r="C5" s="23">
        <v>0.2</v>
      </c>
      <c r="D5" s="19">
        <v>2.4</v>
      </c>
      <c r="E5" s="25">
        <v>0.06</v>
      </c>
      <c r="F5" s="19">
        <f>D5+(D5*E5)</f>
        <v>2.544</v>
      </c>
      <c r="G5" s="18">
        <f>D5*C5</f>
        <v>0.48</v>
      </c>
      <c r="H5" s="4"/>
      <c r="O5" s="4"/>
      <c r="P5" s="4"/>
    </row>
    <row r="6" spans="2:16" x14ac:dyDescent="0.3">
      <c r="B6" s="8" t="s">
        <v>17</v>
      </c>
      <c r="C6" s="23">
        <v>0.12</v>
      </c>
      <c r="D6" s="19">
        <v>6.59433962264151</v>
      </c>
      <c r="E6" s="25">
        <v>0.06</v>
      </c>
      <c r="F6" s="19">
        <f t="shared" ref="F6:F13" si="0">D6+(D6*E6)</f>
        <v>6.99</v>
      </c>
      <c r="G6" s="18">
        <f t="shared" ref="G6:G13" si="1">D6*C6</f>
        <v>0.7913207547169812</v>
      </c>
      <c r="H6" s="4"/>
      <c r="O6" s="4"/>
      <c r="P6" s="4"/>
    </row>
    <row r="7" spans="2:16" x14ac:dyDescent="0.3">
      <c r="B7" s="8" t="s">
        <v>33</v>
      </c>
      <c r="C7" s="23">
        <v>1</v>
      </c>
      <c r="D7" s="19">
        <v>0.16858063263041065</v>
      </c>
      <c r="E7" s="25">
        <v>0.13</v>
      </c>
      <c r="F7" s="19">
        <f t="shared" si="0"/>
        <v>0.19049611487236404</v>
      </c>
      <c r="G7" s="18">
        <f t="shared" si="1"/>
        <v>0.16858063263041065</v>
      </c>
      <c r="H7" s="4"/>
      <c r="O7" s="4"/>
      <c r="P7" s="4"/>
    </row>
    <row r="8" spans="2:16" x14ac:dyDescent="0.3">
      <c r="B8" s="8" t="s">
        <v>18</v>
      </c>
      <c r="C8" s="23">
        <v>0.05</v>
      </c>
      <c r="D8" s="19">
        <v>4.64</v>
      </c>
      <c r="E8" s="25">
        <v>0.23</v>
      </c>
      <c r="F8" s="19">
        <f t="shared" si="0"/>
        <v>5.707199999999999</v>
      </c>
      <c r="G8" s="18">
        <f t="shared" si="1"/>
        <v>0.23199999999999998</v>
      </c>
      <c r="H8" s="4"/>
      <c r="O8" s="4"/>
      <c r="P8" s="4"/>
    </row>
    <row r="9" spans="2:16" x14ac:dyDescent="0.3">
      <c r="B9" s="9" t="s">
        <v>19</v>
      </c>
      <c r="C9" s="24">
        <v>8.0000000000000002E-3</v>
      </c>
      <c r="D9" s="20">
        <v>4.2</v>
      </c>
      <c r="E9" s="26">
        <v>0.23</v>
      </c>
      <c r="F9" s="19">
        <f t="shared" si="0"/>
        <v>5.166</v>
      </c>
      <c r="G9" s="18">
        <f t="shared" si="1"/>
        <v>0.033600000000000005</v>
      </c>
      <c r="H9" s="4"/>
      <c r="O9" s="4"/>
      <c r="P9" s="4"/>
    </row>
    <row r="10" spans="2:16" x14ac:dyDescent="0.3">
      <c r="B10" s="10" t="s">
        <v>34</v>
      </c>
      <c r="C10" s="24">
        <v>0.02</v>
      </c>
      <c r="D10" s="20">
        <v>16.3</v>
      </c>
      <c r="E10" s="26">
        <v>0.06</v>
      </c>
      <c r="F10" s="19">
        <f t="shared" si="0"/>
        <v>17.278000000000002</v>
      </c>
      <c r="G10" s="18">
        <f t="shared" si="1"/>
        <v>0.326</v>
      </c>
      <c r="H10" s="4"/>
      <c r="O10" s="4"/>
      <c r="P10" s="4"/>
    </row>
    <row r="11" spans="2:16" x14ac:dyDescent="0.3">
      <c r="B11" s="10" t="s">
        <v>8</v>
      </c>
      <c r="C11" s="24">
        <v>0.02</v>
      </c>
      <c r="D11" s="20">
        <v>2.98</v>
      </c>
      <c r="E11" s="26">
        <v>0.06</v>
      </c>
      <c r="F11" s="19">
        <f t="shared" si="0"/>
        <v>3.1588</v>
      </c>
      <c r="G11" s="18">
        <f t="shared" si="1"/>
        <v>0.0596</v>
      </c>
      <c r="H11" s="4"/>
      <c r="O11" s="4"/>
      <c r="P11" s="4"/>
    </row>
    <row r="12" spans="2:16" x14ac:dyDescent="0.3">
      <c r="B12" s="1" t="s">
        <v>35</v>
      </c>
      <c r="C12" s="27">
        <v>8.0000000000000002E-3</v>
      </c>
      <c r="D12" s="22">
        <v>0.315</v>
      </c>
      <c r="E12" s="29">
        <v>0.06</v>
      </c>
      <c r="F12" s="19">
        <f t="shared" si="0"/>
        <v>0.3339</v>
      </c>
      <c r="G12" s="18">
        <f t="shared" si="1"/>
        <v>0.00252</v>
      </c>
      <c r="H12" s="4"/>
      <c r="O12" s="4"/>
      <c r="P12" s="4"/>
    </row>
    <row r="13" spans="2:16" ht="15" thickBot="1" x14ac:dyDescent="0.35">
      <c r="B13" s="2" t="s">
        <v>36</v>
      </c>
      <c r="C13" s="28">
        <v>0.04</v>
      </c>
      <c r="D13" s="21">
        <v>13.87</v>
      </c>
      <c r="E13" s="30">
        <v>0.06</v>
      </c>
      <c r="F13" s="19">
        <f t="shared" si="0"/>
        <v>14.7022</v>
      </c>
      <c r="G13" s="18">
        <f t="shared" si="1"/>
        <v>0.5548</v>
      </c>
      <c r="H13" s="4"/>
      <c r="O13" s="4"/>
      <c r="P13" s="4"/>
    </row>
    <row r="14" spans="2:16" ht="15" thickTop="1" x14ac:dyDescent="0.3">
      <c r="B14" s="36" t="s">
        <v>9</v>
      </c>
      <c r="C14" s="37"/>
      <c r="D14" s="37"/>
      <c r="E14" s="37"/>
      <c r="F14" s="37"/>
      <c r="G14" s="16">
        <f>SUM(G5:G13)</f>
        <v>2.6484213873473923</v>
      </c>
      <c r="H14" s="4"/>
      <c r="O14" s="4"/>
      <c r="P14" s="4"/>
    </row>
    <row r="15" spans="2:16" x14ac:dyDescent="0.3">
      <c r="B15" s="38" t="s">
        <v>2</v>
      </c>
      <c r="C15" s="39"/>
      <c r="D15" s="39"/>
      <c r="E15" s="39"/>
      <c r="F15" s="39"/>
      <c r="G15" s="17">
        <v>16</v>
      </c>
      <c r="H15" s="4"/>
      <c r="O15" s="4"/>
      <c r="P15" s="4"/>
    </row>
    <row r="16" spans="2:16" x14ac:dyDescent="0.3">
      <c r="B16" s="40" t="s">
        <v>10</v>
      </c>
      <c r="C16" s="41"/>
      <c r="D16" s="41"/>
      <c r="E16" s="41"/>
      <c r="F16" s="41"/>
      <c r="G16" s="17">
        <f>G15/1.13</f>
        <v>14.159292035398231</v>
      </c>
      <c r="H16" s="4"/>
      <c r="O16" s="4"/>
      <c r="P16" s="4"/>
    </row>
    <row r="17" spans="2:16" ht="15" customHeight="1" thickBot="1" x14ac:dyDescent="0.35">
      <c r="B17" s="42" t="s">
        <v>3</v>
      </c>
      <c r="C17" s="43"/>
      <c r="D17" s="43"/>
      <c r="E17" s="43"/>
      <c r="F17" s="43"/>
      <c r="G17" s="15">
        <f>G14/G16</f>
        <v>0.18704476048140958</v>
      </c>
      <c r="H17" s="11"/>
      <c r="O17" s="4"/>
      <c r="P17" s="4"/>
    </row>
    <row r="18" spans="2:16" ht="15" thickTop="1" x14ac:dyDescent="0.3">
      <c r="B18" s="4"/>
      <c r="C18" s="4"/>
      <c r="D18" s="4"/>
      <c r="E18" s="4"/>
      <c r="F18" s="4"/>
      <c r="G18" s="4"/>
      <c r="H18" s="4"/>
      <c r="O18" s="4"/>
      <c r="P18" s="4"/>
    </row>
    <row r="19" spans="2:16" ht="15" customHeight="1" x14ac:dyDescent="0.3">
      <c r="B19" s="35" t="s">
        <v>4</v>
      </c>
      <c r="C19" s="35"/>
      <c r="D19" s="35"/>
      <c r="E19" s="35"/>
      <c r="F19" s="35"/>
      <c r="G19" s="35"/>
      <c r="H19" s="12"/>
      <c r="O19" s="12"/>
      <c r="P19" s="12"/>
    </row>
    <row r="20" spans="2:16" x14ac:dyDescent="0.3">
      <c r="B20" s="31" t="s">
        <v>25</v>
      </c>
      <c r="C20" s="31"/>
      <c r="D20" s="31"/>
      <c r="E20" s="31"/>
      <c r="F20" s="31"/>
      <c r="G20" s="31"/>
      <c r="H20" s="13"/>
      <c r="O20" s="13"/>
      <c r="P20" s="13"/>
    </row>
  </sheetData>
  <mergeCells count="7">
    <mergeCell ref="B2:G2"/>
    <mergeCell ref="B19:G19"/>
    <mergeCell ref="B20:G20"/>
    <mergeCell ref="B14:F14"/>
    <mergeCell ref="B15:F15"/>
    <mergeCell ref="B16:F16"/>
    <mergeCell ref="B17:F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FCB5-1DAC-4C19-9F6A-8AF1771455B4}">
  <dimension ref="B1:M19"/>
  <sheetViews>
    <sheetView workbookViewId="0">
      <selection activeCell="D5" sqref="D5:D12"/>
    </sheetView>
  </sheetViews>
  <sheetFormatPr defaultRowHeight="13.8" x14ac:dyDescent="0.25"/>
  <cols>
    <col min="1" max="1" width="8.88671875" style="3"/>
    <col min="2" max="2" width="20.77734375" style="3" customWidth="1"/>
    <col min="3" max="4" width="12.77734375" style="3" customWidth="1"/>
    <col min="5" max="5" width="6.77734375" style="3" customWidth="1"/>
    <col min="6" max="7" width="12.77734375" style="3" customWidth="1"/>
    <col min="8" max="16384" width="8.88671875" style="3"/>
  </cols>
  <sheetData>
    <row r="1" spans="2:13" ht="14.4" thickBot="1" x14ac:dyDescent="0.3"/>
    <row r="2" spans="2:13" ht="18" thickBot="1" x14ac:dyDescent="0.3">
      <c r="B2" s="32" t="s">
        <v>6</v>
      </c>
      <c r="C2" s="33"/>
      <c r="D2" s="33"/>
      <c r="E2" s="33"/>
      <c r="F2" s="33"/>
      <c r="G2" s="34"/>
      <c r="H2" s="4"/>
      <c r="I2" s="4"/>
      <c r="J2" s="4"/>
      <c r="K2" s="4"/>
      <c r="L2" s="4"/>
      <c r="M2" s="4"/>
    </row>
    <row r="3" spans="2:13" ht="14.4" thickBot="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ht="14.4" thickTop="1" x14ac:dyDescent="0.25">
      <c r="B4" s="5" t="s">
        <v>0</v>
      </c>
      <c r="C4" s="6" t="s">
        <v>1</v>
      </c>
      <c r="D4" s="14" t="s">
        <v>27</v>
      </c>
      <c r="E4" s="14" t="s">
        <v>28</v>
      </c>
      <c r="F4" s="14" t="s">
        <v>29</v>
      </c>
      <c r="G4" s="7" t="s">
        <v>30</v>
      </c>
      <c r="H4" s="4"/>
      <c r="I4" s="4"/>
      <c r="J4" s="4"/>
      <c r="K4" s="4"/>
      <c r="L4" s="4"/>
      <c r="M4" s="4"/>
    </row>
    <row r="5" spans="2:13" x14ac:dyDescent="0.25">
      <c r="B5" s="8" t="s">
        <v>7</v>
      </c>
      <c r="C5" s="23">
        <v>0.2</v>
      </c>
      <c r="D5" s="19">
        <v>6.241</v>
      </c>
      <c r="E5" s="25">
        <v>0.23</v>
      </c>
      <c r="F5" s="19">
        <f>D5+(D5*E5)</f>
        <v>7.67643</v>
      </c>
      <c r="G5" s="18">
        <f>D5*C5</f>
        <v>1.2482</v>
      </c>
      <c r="H5" s="4"/>
      <c r="I5" s="4"/>
      <c r="J5" s="4"/>
      <c r="K5" s="4"/>
      <c r="L5" s="4"/>
      <c r="M5" s="4"/>
    </row>
    <row r="6" spans="2:13" x14ac:dyDescent="0.25">
      <c r="B6" s="8" t="s">
        <v>12</v>
      </c>
      <c r="C6" s="23">
        <v>3.5000000000000003E-2</v>
      </c>
      <c r="D6" s="19">
        <v>8.8</v>
      </c>
      <c r="E6" s="25">
        <v>0.06</v>
      </c>
      <c r="F6" s="19">
        <f t="shared" ref="F6:F12" si="0">D6+(D6*E6)</f>
        <v>9.328000000000001</v>
      </c>
      <c r="G6" s="18">
        <f t="shared" ref="G6:G12" si="1">D6*C6</f>
        <v>0.30800000000000005</v>
      </c>
      <c r="H6" s="4"/>
      <c r="I6" s="4"/>
      <c r="J6" s="4"/>
      <c r="K6" s="4"/>
      <c r="L6" s="4"/>
      <c r="M6" s="4"/>
    </row>
    <row r="7" spans="2:13" x14ac:dyDescent="0.25">
      <c r="B7" s="8" t="s">
        <v>20</v>
      </c>
      <c r="C7" s="23">
        <v>0.09</v>
      </c>
      <c r="D7" s="19">
        <v>1.49</v>
      </c>
      <c r="E7" s="25">
        <v>0.06</v>
      </c>
      <c r="F7" s="19">
        <f t="shared" si="0"/>
        <v>1.5794</v>
      </c>
      <c r="G7" s="18">
        <f t="shared" si="1"/>
        <v>0.1341</v>
      </c>
      <c r="H7" s="4"/>
      <c r="I7" s="4"/>
      <c r="J7" s="4"/>
      <c r="K7" s="4"/>
      <c r="L7" s="4"/>
      <c r="M7" s="4"/>
    </row>
    <row r="8" spans="2:13" x14ac:dyDescent="0.25">
      <c r="B8" s="8" t="s">
        <v>13</v>
      </c>
      <c r="C8" s="23">
        <v>0.06</v>
      </c>
      <c r="D8" s="19">
        <v>4.6</v>
      </c>
      <c r="E8" s="25">
        <v>0.06</v>
      </c>
      <c r="F8" s="19">
        <f t="shared" si="0"/>
        <v>4.8759999999999994</v>
      </c>
      <c r="G8" s="18">
        <f t="shared" si="1"/>
        <v>0.27599999999999997</v>
      </c>
      <c r="H8" s="4"/>
      <c r="I8" s="4"/>
      <c r="J8" s="4"/>
      <c r="K8" s="4"/>
      <c r="L8" s="4"/>
      <c r="M8" s="4"/>
    </row>
    <row r="9" spans="2:13" x14ac:dyDescent="0.25">
      <c r="B9" s="9" t="s">
        <v>21</v>
      </c>
      <c r="C9" s="24">
        <v>0.1</v>
      </c>
      <c r="D9" s="20">
        <v>4.2</v>
      </c>
      <c r="E9" s="26">
        <v>0.06</v>
      </c>
      <c r="F9" s="19">
        <f t="shared" si="0"/>
        <v>4.452</v>
      </c>
      <c r="G9" s="18">
        <f t="shared" si="1"/>
        <v>0.42000000000000004</v>
      </c>
      <c r="H9" s="4"/>
      <c r="I9" s="4"/>
      <c r="J9" s="4"/>
      <c r="K9" s="4"/>
      <c r="L9" s="4"/>
      <c r="M9" s="4"/>
    </row>
    <row r="10" spans="2:13" x14ac:dyDescent="0.25">
      <c r="B10" s="10" t="s">
        <v>22</v>
      </c>
      <c r="C10" s="24">
        <v>0.03</v>
      </c>
      <c r="D10" s="20">
        <v>3.71</v>
      </c>
      <c r="E10" s="26">
        <v>0.23</v>
      </c>
      <c r="F10" s="19">
        <f t="shared" si="0"/>
        <v>4.5633</v>
      </c>
      <c r="G10" s="18">
        <f t="shared" si="1"/>
        <v>0.1113</v>
      </c>
      <c r="H10" s="4"/>
      <c r="I10" s="4"/>
      <c r="J10" s="4"/>
      <c r="K10" s="4"/>
      <c r="L10" s="4"/>
      <c r="M10" s="4"/>
    </row>
    <row r="11" spans="2:13" x14ac:dyDescent="0.25">
      <c r="B11" s="10" t="s">
        <v>23</v>
      </c>
      <c r="C11" s="24">
        <v>1.4999999999999999E-2</v>
      </c>
      <c r="D11" s="20">
        <v>9.88</v>
      </c>
      <c r="E11" s="26">
        <v>0.23</v>
      </c>
      <c r="F11" s="19">
        <f t="shared" si="0"/>
        <v>12.1524</v>
      </c>
      <c r="G11" s="18">
        <f t="shared" si="1"/>
        <v>0.1482</v>
      </c>
      <c r="H11" s="4"/>
      <c r="I11" s="4"/>
      <c r="J11" s="4"/>
      <c r="K11" s="4"/>
      <c r="L11" s="4"/>
      <c r="M11" s="4"/>
    </row>
    <row r="12" spans="2:13" ht="14.4" thickBot="1" x14ac:dyDescent="0.3">
      <c r="B12" s="2" t="s">
        <v>24</v>
      </c>
      <c r="C12" s="28">
        <v>0.04</v>
      </c>
      <c r="D12" s="21">
        <v>1.6</v>
      </c>
      <c r="E12" s="30">
        <v>0.06</v>
      </c>
      <c r="F12" s="19">
        <f t="shared" si="0"/>
        <v>1.6960000000000002</v>
      </c>
      <c r="G12" s="18">
        <f t="shared" si="1"/>
        <v>0.064</v>
      </c>
      <c r="H12" s="4"/>
      <c r="I12" s="4"/>
      <c r="J12" s="4"/>
      <c r="K12" s="4"/>
      <c r="L12" s="4"/>
      <c r="M12" s="4"/>
    </row>
    <row r="13" spans="2:13" ht="14.4" thickTop="1" x14ac:dyDescent="0.25">
      <c r="B13" s="36" t="s">
        <v>9</v>
      </c>
      <c r="C13" s="37"/>
      <c r="D13" s="37"/>
      <c r="E13" s="37"/>
      <c r="F13" s="37"/>
      <c r="G13" s="16">
        <f>SUM(G5:G12)</f>
        <v>2.7098000000000004</v>
      </c>
      <c r="H13" s="4"/>
      <c r="I13" s="4"/>
      <c r="J13" s="4"/>
      <c r="K13" s="4"/>
      <c r="L13" s="4"/>
      <c r="M13" s="4"/>
    </row>
    <row r="14" spans="2:13" x14ac:dyDescent="0.25">
      <c r="B14" s="38" t="s">
        <v>2</v>
      </c>
      <c r="C14" s="39"/>
      <c r="D14" s="39"/>
      <c r="E14" s="39"/>
      <c r="F14" s="39"/>
      <c r="G14" s="17">
        <v>17</v>
      </c>
      <c r="H14" s="4"/>
      <c r="I14" s="4"/>
      <c r="J14" s="4"/>
      <c r="K14" s="4"/>
      <c r="L14" s="4"/>
      <c r="M14" s="4"/>
    </row>
    <row r="15" spans="2:13" x14ac:dyDescent="0.25">
      <c r="B15" s="40" t="s">
        <v>10</v>
      </c>
      <c r="C15" s="41"/>
      <c r="D15" s="41"/>
      <c r="E15" s="41"/>
      <c r="F15" s="41"/>
      <c r="G15" s="17">
        <f>G14/1.13</f>
        <v>15.044247787610621</v>
      </c>
      <c r="H15" s="4"/>
      <c r="I15" s="4"/>
      <c r="J15" s="4"/>
      <c r="K15" s="4"/>
      <c r="L15" s="4"/>
      <c r="M15" s="4"/>
    </row>
    <row r="16" spans="2:13" ht="14.4" thickBot="1" x14ac:dyDescent="0.3">
      <c r="B16" s="42" t="s">
        <v>3</v>
      </c>
      <c r="C16" s="43"/>
      <c r="D16" s="43"/>
      <c r="E16" s="43"/>
      <c r="F16" s="43"/>
      <c r="G16" s="15">
        <f>G13/G15</f>
        <v>0.180122</v>
      </c>
      <c r="H16" s="11"/>
      <c r="I16" s="4"/>
      <c r="J16" s="4"/>
      <c r="K16" s="4"/>
      <c r="L16" s="4"/>
      <c r="M16" s="4"/>
    </row>
    <row r="17" spans="2:13" ht="14.4" thickTop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 x14ac:dyDescent="0.25">
      <c r="B18" s="35" t="s">
        <v>4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2:13" x14ac:dyDescent="0.25">
      <c r="B19" s="31" t="s">
        <v>25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</sheetData>
  <mergeCells count="7">
    <mergeCell ref="B19:M19"/>
    <mergeCell ref="B2:G2"/>
    <mergeCell ref="B18:M18"/>
    <mergeCell ref="B13:F13"/>
    <mergeCell ref="B14:F14"/>
    <mergeCell ref="B15:F15"/>
    <mergeCell ref="B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Burrata</vt:lpstr>
      <vt:lpstr>Caesar</vt:lpstr>
      <vt:lpstr>Camarão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2026-06-15T20:24:56Z</dcterms:created>
  <dcterms:modified xsi:type="dcterms:W3CDTF">2026-07-23T14:39:54Z</dcterms:modified>
</cp:coreProperties>
</file>