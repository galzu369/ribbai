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RIBB.AI/docs/kitchen/costing/technical-sheets/menu-items/"/>
    </mc:Choice>
  </mc:AlternateContent>
  <xr:revisionPtr revIDLastSave="527" documentId="13_ncr:1_{A276DCB9-80F4-4740-9BC2-0E194005A5B8}" xr6:coauthVersionLast="47" xr6:coauthVersionMax="47" xr10:uidLastSave="{285106D2-B3B2-40D5-9417-C0D93D01F6BD}"/>
  <bookViews>
    <workbookView xWindow="-108" yWindow="-108" windowWidth="23256" windowHeight="12456" xr2:uid="{7CA8928D-8302-4BB2-94EC-814C291C5DB3}"/>
  </bookViews>
  <sheets>
    <sheet name="Arroz" sheetId="1" r:id="rId1"/>
    <sheet name="Feijão" sheetId="2" r:id="rId2"/>
    <sheet name="Salada" sheetId="3" r:id="rId3"/>
    <sheet name="Mix Legumes" sheetId="4" r:id="rId4"/>
    <sheet name="Batatas" sheetId="5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<sst xmlns="http://schemas.openxmlformats.org/spreadsheetml/2006/main" count="131" uniqueCount="42">
  <si>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</si>
  <si>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</si>
  <si>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</si>
  <si>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</si>
  <si>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</si>
  <si>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</si>
  <si>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Azeite</t>
  </si>
  <si>
    <t>Custo Mercadoria s/Iva</t>
  </si>
  <si>
    <t>Preço Venda s/Iva</t>
  </si>
  <si>
    <t>Feijão Preto</t>
  </si>
  <si>
    <t>Chouriço</t>
  </si>
  <si>
    <t>Cebola</t>
  </si>
  <si>
    <t>Salada Ibérica</t>
  </si>
  <si>
    <t>Cenoura</t>
  </si>
  <si>
    <t>Bróculos</t>
  </si>
  <si>
    <t>Couve-flôr</t>
  </si>
  <si>
    <t>Óleo AR</t>
  </si>
  <si>
    <t>Água</t>
  </si>
  <si>
    <t>Louro</t>
  </si>
  <si>
    <t>Sal grosso</t>
  </si>
  <si>
    <t>Custo</t>
  </si>
  <si>
    <t>Arroz thai jasmin</t>
  </si>
  <si>
    <t>BATATAS FRITA SCOOP (dose)</t>
  </si>
  <si>
    <t>SALADA (dose)</t>
  </si>
  <si>
    <t>FEIJÃO (dose)</t>
  </si>
  <si>
    <t>ARROZ (dose)</t>
  </si>
  <si>
    <t>ARROZ - 1KG (X2,531)</t>
  </si>
  <si>
    <t>MIX DE LEGUMES (dose)</t>
  </si>
  <si>
    <t>Sal fino</t>
  </si>
  <si>
    <t>-</t>
  </si>
  <si>
    <t>Cominhos pó</t>
  </si>
  <si>
    <t>FEIJÃO - 1KG (X3,255)</t>
  </si>
  <si>
    <t>Tomate cereja</t>
  </si>
  <si>
    <t>Cebola roxa</t>
  </si>
  <si>
    <t>Batata scoop cong</t>
  </si>
  <si>
    <t>Preço s/ IVA</t>
  </si>
  <si>
    <t>IVA</t>
  </si>
  <si>
    <t>Preço c/ IVA</t>
  </si>
  <si>
    <t>Bacon cubos</t>
  </si>
  <si>
    <t>Alho descascado</t>
  </si>
  <si>
    <t>Feijão (dose)</t>
  </si>
  <si>
    <t>Arroz (dose)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</si>
</sst>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"/>
    <numFmt numFmtId="165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/>
    </xf>
    <xf numFmtId="44" fontId="4" fillId="0" borderId="20" xfId="2" applyFont="1" applyBorder="1" applyAlignment="1">
      <alignment vertical="center"/>
    </xf>
    <xf numFmtId="9" fontId="4" fillId="2" borderId="21" xfId="1" applyFont="1" applyFill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3" borderId="8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3" borderId="15" xfId="0" applyFont="1" applyFill="1" applyBorder="1" applyAlignment="1">
      <alignment horizontal="right" vertical="center"/>
    </xf>
    <xf numFmtId="164" fontId="3" fillId="3" borderId="8" xfId="0" applyNumberFormat="1" applyFont="1" applyFill="1" applyBorder="1" applyAlignment="1">
      <alignment horizontal="right" vertical="center"/>
    </xf>
    <xf numFmtId="164" fontId="3" fillId="0" borderId="15" xfId="0" applyNumberFormat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5" fontId="3" fillId="3" borderId="8" xfId="0" applyNumberFormat="1" applyFont="1" applyFill="1" applyBorder="1" applyAlignment="1">
      <alignment horizontal="right" vertical="center"/>
    </xf>
    <xf numFmtId="165" fontId="3" fillId="3" borderId="22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0" borderId="19" xfId="2" applyNumberFormat="1" applyFont="1" applyBorder="1" applyAlignment="1">
      <alignment vertical="center"/>
    </xf>
    <xf numFmtId="165" fontId="3" fillId="0" borderId="15" xfId="0" applyNumberFormat="1" applyFont="1" applyBorder="1" applyAlignment="1">
      <alignment horizontal="right" vertical="center"/>
    </xf>
    <xf numFmtId="165" fontId="3" fillId="0" borderId="8" xfId="0" applyNumberFormat="1" applyFont="1" applyBorder="1" applyAlignment="1">
      <alignment horizontal="right" vertical="center"/>
    </xf>
    <xf numFmtId="165" fontId="4" fillId="0" borderId="19" xfId="2" applyNumberFormat="1" applyFont="1" applyBorder="1" applyAlignment="1">
      <alignment horizontal="right" vertical="center"/>
    </xf>
    <xf numFmtId="165" fontId="3" fillId="3" borderId="15" xfId="0" applyNumberFormat="1" applyFont="1" applyFill="1" applyBorder="1" applyAlignment="1">
      <alignment horizontal="right" vertical="center"/>
    </xf>
    <xf numFmtId="165" fontId="4" fillId="0" borderId="20" xfId="2" applyNumberFormat="1" applyFont="1" applyBorder="1" applyAlignment="1">
      <alignment vertical="center"/>
    </xf>
    <xf numFmtId="165" fontId="4" fillId="0" borderId="20" xfId="2" applyNumberFormat="1" applyFont="1" applyBorder="1" applyAlignment="1">
      <alignment horizontal="right" vertical="center"/>
    </xf>
    <xf numFmtId="9" fontId="3" fillId="3" borderId="22" xfId="1" applyFont="1" applyFill="1" applyBorder="1" applyAlignment="1">
      <alignment horizontal="center" vertical="center"/>
    </xf>
    <xf numFmtId="9" fontId="3" fillId="0" borderId="22" xfId="1" applyFont="1" applyBorder="1" applyAlignment="1">
      <alignment horizontal="center" vertical="center"/>
    </xf>
    <xf numFmtId="9" fontId="3" fillId="0" borderId="23" xfId="1" applyFont="1" applyBorder="1" applyAlignment="1">
      <alignment horizontal="center" vertical="center"/>
    </xf>
    <xf numFmtId="9" fontId="3" fillId="3" borderId="23" xfId="1" applyFont="1" applyFill="1" applyBorder="1" applyAlignment="1">
      <alignment horizontal="center" vertical="center"/>
    </xf>
    <xf numFmtId="9" fontId="3" fillId="3" borderId="22" xfId="0" applyNumberFormat="1" applyFont="1" applyFill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3">
    <cellStyle name="Moeda 2" xfId="2" xr:uid="{9E1A92A8-94B3-4D1A-A8E3-8A5C21465BF3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935B-31AE-4C31-AABD-EC264E168336}">
  <dimension ref="B1:O16"/>
  <sheetViews>
    <sheetView tabSelected="1" workbookViewId="0">
      <selection activeCell="B5" sqref="B5"/>
    </sheetView>
  </sheetViews>
  <sheetFormatPr defaultRowHeight="13.8" x14ac:dyDescent="0.25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8" width="8.88671875" style="3"/>
    <col min="9" max="9" width="20.77734375" style="3" customWidth="1"/>
    <col min="10" max="11" width="12.77734375" style="3" customWidth="1"/>
    <col min="12" max="12" width="6.77734375" style="3" customWidth="1"/>
    <col min="13" max="14" width="12.77734375" style="3" customWidth="1"/>
    <col min="15" max="16384" width="8.88671875" style="3"/>
  </cols>
  <sheetData>
    <row r="1" spans="2:15" ht="14.4" thickBot="1" x14ac:dyDescent="0.3"/>
    <row r="2" spans="2:15" ht="18" thickBot="1" x14ac:dyDescent="0.3">
      <c r="B2" s="42" t="s">
        <v>25</v>
      </c>
      <c r="C2" s="43"/>
      <c r="D2" s="43"/>
      <c r="E2" s="43"/>
      <c r="F2" s="43"/>
      <c r="G2" s="44"/>
      <c r="H2" s="1"/>
      <c r="I2" s="42" t="s">
        <v>26</v>
      </c>
      <c r="J2" s="43"/>
      <c r="K2" s="43"/>
      <c r="L2" s="43"/>
      <c r="M2" s="43"/>
      <c r="N2" s="44"/>
      <c r="O2" s="1"/>
    </row>
    <row r="3" spans="2:15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14.4" thickTop="1" x14ac:dyDescent="0.25">
      <c r="B4" s="4" t="s">
        <v>0</v>
      </c>
      <c r="C4" s="5" t="s">
        <v>1</v>
      </c>
      <c r="D4" s="10" t="s">
        <v>35</v>
      </c>
      <c r="E4" s="10" t="s">
        <v>36</v>
      </c>
      <c r="F4" s="10" t="s">
        <v>37</v>
      </c>
      <c r="G4" s="6" t="s">
        <v>20</v>
      </c>
      <c r="H4" s="1"/>
      <c r="I4" s="4" t="s">
        <v>0</v>
      </c>
      <c r="J4" s="5" t="s">
        <v>1</v>
      </c>
      <c r="K4" s="10" t="s">
        <v>35</v>
      </c>
      <c r="L4" s="10" t="s">
        <v>36</v>
      </c>
      <c r="M4" s="10" t="s">
        <v>37</v>
      </c>
      <c r="N4" s="6" t="s">
        <v>20</v>
      </c>
      <c r="O4" s="1"/>
    </row>
    <row r="5" spans="2:15" ht="14.4" thickBot="1" x14ac:dyDescent="0.3">
      <c r="B5" s="7" t="s">
        <v>41</v>
      </c>
      <c r="C5" s="23">
        <v>0.12</v>
      </c>
      <c r="D5" s="26">
        <f>N10</f>
        <v>0.7096610000000001</v>
      </c>
      <c r="E5" s="36">
        <v>0.13</v>
      </c>
      <c r="F5" s="27">
        <f>D5+(D5*E5)</f>
        <v>0.80191693000000008</v>
      </c>
      <c r="G5" s="28">
        <f>D5*C5</f>
        <v>8.5159320000000011E-2</v>
      </c>
      <c r="H5" s="1"/>
      <c r="I5" s="7" t="s">
        <v>21</v>
      </c>
      <c r="J5" s="23">
        <v>0.39510000000000001</v>
      </c>
      <c r="K5" s="26">
        <v>1.75</v>
      </c>
      <c r="L5" s="40">
        <v>0.06</v>
      </c>
      <c r="M5" s="27">
        <f>K5+(K5*L5)</f>
        <v>1.855</v>
      </c>
      <c r="N5" s="28">
        <f>K5*J5</f>
        <v>0.69142499999999996</v>
      </c>
      <c r="O5" s="1"/>
    </row>
    <row r="6" spans="2:15" ht="14.4" thickTop="1" x14ac:dyDescent="0.25">
      <c r="B6" s="45" t="s">
        <v>7</v>
      </c>
      <c r="C6" s="46"/>
      <c r="D6" s="46"/>
      <c r="E6" s="46"/>
      <c r="F6" s="46"/>
      <c r="G6" s="29">
        <f>SUM(G5)</f>
        <v>8.5159320000000011E-2</v>
      </c>
      <c r="H6" s="1"/>
      <c r="I6" s="7" t="s">
        <v>6</v>
      </c>
      <c r="J6" s="23">
        <v>4.0000000000000001E-3</v>
      </c>
      <c r="K6" s="26">
        <v>2.98</v>
      </c>
      <c r="L6" s="40">
        <v>0.06</v>
      </c>
      <c r="M6" s="27">
        <f t="shared" ref="M6:M9" si="0">K6+(K6*L6)</f>
        <v>3.1587999999999998</v>
      </c>
      <c r="N6" s="28">
        <f t="shared" ref="N6:N9" si="1">K6*J6</f>
        <v>1.192E-2</v>
      </c>
      <c r="O6" s="1"/>
    </row>
    <row r="7" spans="2:15" x14ac:dyDescent="0.25">
      <c r="B7" s="47" t="s">
        <v>2</v>
      </c>
      <c r="C7" s="48"/>
      <c r="D7" s="48"/>
      <c r="E7" s="48"/>
      <c r="F7" s="48"/>
      <c r="G7" s="35">
        <v>3.5</v>
      </c>
      <c r="H7" s="1"/>
      <c r="I7" s="7" t="s">
        <v>28</v>
      </c>
      <c r="J7" s="23">
        <v>7.9000000000000001E-4</v>
      </c>
      <c r="K7" s="26">
        <v>1.4</v>
      </c>
      <c r="L7" s="40">
        <v>0.06</v>
      </c>
      <c r="M7" s="27">
        <f t="shared" si="0"/>
        <v>1.484</v>
      </c>
      <c r="N7" s="28">
        <f t="shared" si="1"/>
        <v>1.106E-3</v>
      </c>
      <c r="O7" s="1"/>
    </row>
    <row r="8" spans="2:15" x14ac:dyDescent="0.25">
      <c r="B8" s="49" t="s">
        <v>8</v>
      </c>
      <c r="C8" s="50"/>
      <c r="D8" s="50"/>
      <c r="E8" s="50"/>
      <c r="F8" s="50"/>
      <c r="G8" s="35">
        <f>G7/1.13</f>
        <v>3.0973451327433632</v>
      </c>
      <c r="H8" s="1"/>
      <c r="I8" s="7" t="s">
        <v>17</v>
      </c>
      <c r="J8" s="23" t="s">
        <v>29</v>
      </c>
      <c r="K8" s="26"/>
      <c r="L8" s="40" t="s">
        <v>29</v>
      </c>
      <c r="M8" s="27" t="s">
        <v>29</v>
      </c>
      <c r="N8" s="28" t="s">
        <v>29</v>
      </c>
      <c r="O8" s="1"/>
    </row>
    <row r="9" spans="2:15" ht="14.4" thickBot="1" x14ac:dyDescent="0.3">
      <c r="B9" s="51" t="s">
        <v>3</v>
      </c>
      <c r="C9" s="52"/>
      <c r="D9" s="52"/>
      <c r="E9" s="52"/>
      <c r="F9" s="52"/>
      <c r="G9" s="13">
        <f>G6/G8</f>
        <v>2.7494294742857143E-2</v>
      </c>
      <c r="H9" s="1"/>
      <c r="I9" s="11" t="s">
        <v>18</v>
      </c>
      <c r="J9" s="24">
        <v>5.0000000000000001E-4</v>
      </c>
      <c r="K9" s="30">
        <v>10.42</v>
      </c>
      <c r="L9" s="41">
        <v>0.06</v>
      </c>
      <c r="M9" s="27">
        <f t="shared" si="0"/>
        <v>11.045199999999999</v>
      </c>
      <c r="N9" s="28">
        <f t="shared" si="1"/>
        <v>5.2100000000000002E-3</v>
      </c>
      <c r="O9" s="1"/>
    </row>
    <row r="10" spans="2:15" ht="14.4" thickTop="1" x14ac:dyDescent="0.25">
      <c r="B10" s="1"/>
      <c r="C10" s="1"/>
      <c r="D10" s="1"/>
      <c r="E10" s="1"/>
      <c r="F10" s="1"/>
      <c r="G10" s="1"/>
      <c r="H10" s="1"/>
      <c r="I10" s="45" t="s">
        <v>7</v>
      </c>
      <c r="J10" s="46"/>
      <c r="K10" s="46"/>
      <c r="L10" s="46"/>
      <c r="M10" s="46"/>
      <c r="N10" s="29">
        <f>SUM(N5:N9)</f>
        <v>0.7096610000000001</v>
      </c>
      <c r="O10" s="1"/>
    </row>
    <row r="11" spans="2:15" x14ac:dyDescent="0.25">
      <c r="B11" s="16" t="s">
        <v>4</v>
      </c>
      <c r="C11" s="16"/>
      <c r="D11" s="16"/>
      <c r="E11" s="16"/>
      <c r="F11" s="16"/>
      <c r="G11" s="16"/>
      <c r="H11" s="1"/>
      <c r="I11" s="47" t="s">
        <v>2</v>
      </c>
      <c r="J11" s="48"/>
      <c r="K11" s="48"/>
      <c r="L11" s="48"/>
      <c r="M11" s="48"/>
      <c r="N11" s="12"/>
      <c r="O11" s="1"/>
    </row>
    <row r="12" spans="2:15" x14ac:dyDescent="0.25">
      <c r="B12" s="15" t="s">
        <v>5</v>
      </c>
      <c r="C12" s="15"/>
      <c r="D12" s="15"/>
      <c r="E12" s="15"/>
      <c r="F12" s="15"/>
      <c r="G12" s="15"/>
      <c r="H12" s="1"/>
      <c r="I12" s="49" t="s">
        <v>8</v>
      </c>
      <c r="J12" s="50"/>
      <c r="K12" s="50"/>
      <c r="L12" s="50"/>
      <c r="M12" s="50"/>
      <c r="N12" s="12"/>
      <c r="O12" s="1"/>
    </row>
    <row r="13" spans="2:15" ht="14.4" thickBot="1" x14ac:dyDescent="0.3">
      <c r="H13" s="2"/>
      <c r="I13" s="51" t="s">
        <v>3</v>
      </c>
      <c r="J13" s="52"/>
      <c r="K13" s="52"/>
      <c r="L13" s="52"/>
      <c r="M13" s="52"/>
      <c r="N13" s="13"/>
      <c r="O13" s="1"/>
    </row>
    <row r="14" spans="2:15" ht="14.4" thickTop="1" x14ac:dyDescent="0.25">
      <c r="H14" s="1"/>
      <c r="I14" s="1"/>
      <c r="J14" s="1"/>
      <c r="K14" s="1"/>
      <c r="L14" s="1"/>
      <c r="M14" s="1"/>
      <c r="N14" s="1"/>
      <c r="O14" s="1"/>
    </row>
    <row r="15" spans="2:15" x14ac:dyDescent="0.25">
      <c r="H15" s="16"/>
      <c r="I15" s="16"/>
      <c r="J15" s="16"/>
      <c r="K15" s="16"/>
      <c r="L15" s="16"/>
      <c r="M15" s="16"/>
      <c r="N15" s="16"/>
      <c r="O15" s="16"/>
    </row>
    <row r="16" spans="2:15" x14ac:dyDescent="0.25">
      <c r="H16" s="15"/>
      <c r="I16" s="15"/>
      <c r="J16" s="15"/>
      <c r="K16" s="15"/>
      <c r="L16" s="15"/>
      <c r="M16" s="15"/>
      <c r="N16" s="15"/>
      <c r="O16" s="15"/>
    </row>
  </sheetData>
  <mergeCells count="10">
    <mergeCell ref="I13:M13"/>
    <mergeCell ref="B9:F9"/>
    <mergeCell ref="I10:M10"/>
    <mergeCell ref="I11:M11"/>
    <mergeCell ref="I12:M12"/>
    <mergeCell ref="B2:G2"/>
    <mergeCell ref="I2:N2"/>
    <mergeCell ref="B6:F6"/>
    <mergeCell ref="B7:F7"/>
    <mergeCell ref="B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076E-13EE-4BEC-A081-B1B9A60CA520}">
  <dimension ref="B1:O19"/>
  <sheetViews>
    <sheetView workbookViewId="0">
      <selection activeCell="K5" sqref="K5:K12"/>
    </sheetView>
  </sheetViews>
  <sheetFormatPr defaultRowHeight="13.8" x14ac:dyDescent="0.25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8" width="8.88671875" style="3"/>
    <col min="9" max="9" width="20.77734375" style="3" customWidth="1"/>
    <col min="10" max="11" width="12.77734375" style="3" customWidth="1"/>
    <col min="12" max="12" width="6.77734375" style="3" customWidth="1"/>
    <col min="13" max="14" width="12.77734375" style="3" customWidth="1"/>
    <col min="15" max="16384" width="8.88671875" style="3"/>
  </cols>
  <sheetData>
    <row r="1" spans="2:15" ht="14.4" thickBot="1" x14ac:dyDescent="0.3"/>
    <row r="2" spans="2:15" ht="18" thickBot="1" x14ac:dyDescent="0.3">
      <c r="B2" s="42" t="s">
        <v>24</v>
      </c>
      <c r="C2" s="43"/>
      <c r="D2" s="43"/>
      <c r="E2" s="43"/>
      <c r="F2" s="43"/>
      <c r="G2" s="44"/>
      <c r="H2" s="1"/>
      <c r="I2" s="42" t="s">
        <v>31</v>
      </c>
      <c r="J2" s="43"/>
      <c r="K2" s="43"/>
      <c r="L2" s="43"/>
      <c r="M2" s="43"/>
      <c r="N2" s="44"/>
      <c r="O2" s="1"/>
    </row>
    <row r="3" spans="2:15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ht="14.4" thickTop="1" x14ac:dyDescent="0.25">
      <c r="B4" s="4" t="s">
        <v>0</v>
      </c>
      <c r="C4" s="5" t="s">
        <v>1</v>
      </c>
      <c r="D4" s="10" t="s">
        <v>35</v>
      </c>
      <c r="E4" s="10" t="s">
        <v>36</v>
      </c>
      <c r="F4" s="10" t="s">
        <v>37</v>
      </c>
      <c r="G4" s="6" t="s">
        <v>20</v>
      </c>
      <c r="H4" s="1"/>
      <c r="I4" s="4" t="s">
        <v>0</v>
      </c>
      <c r="J4" s="5" t="s">
        <v>1</v>
      </c>
      <c r="K4" s="10" t="s">
        <v>35</v>
      </c>
      <c r="L4" s="10" t="s">
        <v>36</v>
      </c>
      <c r="M4" s="10" t="s">
        <v>37</v>
      </c>
      <c r="N4" s="6" t="s">
        <v>20</v>
      </c>
      <c r="O4" s="1"/>
    </row>
    <row r="5" spans="2:15" ht="14.4" thickBot="1" x14ac:dyDescent="0.3">
      <c r="B5" s="7" t="s">
        <v>40</v>
      </c>
      <c r="C5" s="19">
        <v>0.24</v>
      </c>
      <c r="D5" s="26">
        <f>N13</f>
        <v>2.770505632075472</v>
      </c>
      <c r="E5" s="36">
        <v>0.13</v>
      </c>
      <c r="F5" s="27">
        <f>D5+(D5*E5)</f>
        <v>3.1306713642452833</v>
      </c>
      <c r="G5" s="28">
        <f>D5*C5</f>
        <v>0.66492135169811328</v>
      </c>
      <c r="H5" s="1"/>
      <c r="I5" s="7" t="s">
        <v>9</v>
      </c>
      <c r="J5" s="23">
        <v>0.61399999999999999</v>
      </c>
      <c r="K5" s="26">
        <v>1.67</v>
      </c>
      <c r="L5" s="36">
        <v>0.23</v>
      </c>
      <c r="M5" s="27">
        <f>K5+(K5*L5)</f>
        <v>2.0541</v>
      </c>
      <c r="N5" s="28">
        <f>K5*J5</f>
        <v>1.02538</v>
      </c>
      <c r="O5" s="1"/>
    </row>
    <row r="6" spans="2:15" ht="14.4" thickTop="1" x14ac:dyDescent="0.25">
      <c r="B6" s="45" t="s">
        <v>7</v>
      </c>
      <c r="C6" s="46"/>
      <c r="D6" s="46"/>
      <c r="E6" s="46"/>
      <c r="F6" s="46"/>
      <c r="G6" s="32">
        <f>SUM(G5)</f>
        <v>0.66492135169811328</v>
      </c>
      <c r="H6" s="1"/>
      <c r="I6" s="7" t="s">
        <v>10</v>
      </c>
      <c r="J6" s="23">
        <v>0.123</v>
      </c>
      <c r="K6" s="26">
        <v>7.5283018867924527</v>
      </c>
      <c r="L6" s="36">
        <v>0.23</v>
      </c>
      <c r="M6" s="27">
        <f t="shared" ref="M6:M12" si="0">K6+(K6*L6)</f>
        <v>9.2598113207547161</v>
      </c>
      <c r="N6" s="28">
        <f>K6*J6</f>
        <v>0.92598113207547172</v>
      </c>
      <c r="O6" s="1"/>
    </row>
    <row r="7" spans="2:15" x14ac:dyDescent="0.25">
      <c r="B7" s="47" t="s">
        <v>2</v>
      </c>
      <c r="C7" s="48"/>
      <c r="D7" s="48"/>
      <c r="E7" s="48"/>
      <c r="F7" s="48"/>
      <c r="G7" s="34">
        <v>3.5</v>
      </c>
      <c r="H7" s="1"/>
      <c r="I7" s="7" t="s">
        <v>38</v>
      </c>
      <c r="J7" s="23">
        <v>7.6999999999999999E-2</v>
      </c>
      <c r="K7" s="26">
        <v>5.2160000000000002</v>
      </c>
      <c r="L7" s="36">
        <v>0.23</v>
      </c>
      <c r="M7" s="27">
        <f t="shared" si="0"/>
        <v>6.41568</v>
      </c>
      <c r="N7" s="28">
        <f t="shared" ref="N7:N12" si="1">K7*J7</f>
        <v>0.40163199999999999</v>
      </c>
      <c r="O7" s="1"/>
    </row>
    <row r="8" spans="2:15" x14ac:dyDescent="0.25">
      <c r="B8" s="49" t="s">
        <v>8</v>
      </c>
      <c r="C8" s="50"/>
      <c r="D8" s="50"/>
      <c r="E8" s="50"/>
      <c r="F8" s="50"/>
      <c r="G8" s="34">
        <f>G7/1.13</f>
        <v>3.0973451327433632</v>
      </c>
      <c r="H8" s="1"/>
      <c r="I8" s="7" t="s">
        <v>11</v>
      </c>
      <c r="J8" s="23">
        <v>0.108</v>
      </c>
      <c r="K8" s="26">
        <v>0.8</v>
      </c>
      <c r="L8" s="36">
        <v>0.06</v>
      </c>
      <c r="M8" s="27">
        <f t="shared" si="0"/>
        <v>0.84800000000000009</v>
      </c>
      <c r="N8" s="28">
        <f t="shared" si="1"/>
        <v>8.6400000000000005E-2</v>
      </c>
      <c r="O8" s="1"/>
    </row>
    <row r="9" spans="2:15" ht="14.4" thickBot="1" x14ac:dyDescent="0.3">
      <c r="B9" s="51" t="s">
        <v>3</v>
      </c>
      <c r="C9" s="52"/>
      <c r="D9" s="52"/>
      <c r="E9" s="52"/>
      <c r="F9" s="52"/>
      <c r="G9" s="13">
        <f>G6/G8</f>
        <v>0.21467460783396225</v>
      </c>
      <c r="H9" s="1"/>
      <c r="I9" s="7" t="s">
        <v>39</v>
      </c>
      <c r="J9" s="25">
        <v>4.2999999999999997E-2</v>
      </c>
      <c r="K9" s="31">
        <v>5.38</v>
      </c>
      <c r="L9" s="37">
        <v>0.06</v>
      </c>
      <c r="M9" s="27">
        <f t="shared" si="0"/>
        <v>5.7027999999999999</v>
      </c>
      <c r="N9" s="28">
        <f t="shared" si="1"/>
        <v>0.23133999999999999</v>
      </c>
      <c r="O9" s="1"/>
    </row>
    <row r="10" spans="2:15" ht="14.4" thickTop="1" x14ac:dyDescent="0.25">
      <c r="B10" s="1"/>
      <c r="C10" s="1"/>
      <c r="D10" s="1"/>
      <c r="E10" s="1"/>
      <c r="F10" s="1"/>
      <c r="G10" s="1"/>
      <c r="H10" s="1"/>
      <c r="I10" s="8" t="s">
        <v>30</v>
      </c>
      <c r="J10" s="25">
        <v>5.0000000000000001E-3</v>
      </c>
      <c r="K10" s="31">
        <v>9.74</v>
      </c>
      <c r="L10" s="37">
        <v>0.23</v>
      </c>
      <c r="M10" s="27">
        <f t="shared" si="0"/>
        <v>11.9802</v>
      </c>
      <c r="N10" s="28">
        <f t="shared" si="1"/>
        <v>4.87E-2</v>
      </c>
      <c r="O10" s="1"/>
    </row>
    <row r="11" spans="2:15" ht="15" customHeight="1" x14ac:dyDescent="0.25">
      <c r="B11" s="18" t="s">
        <v>4</v>
      </c>
      <c r="C11" s="18"/>
      <c r="D11" s="18"/>
      <c r="E11" s="18"/>
      <c r="F11" s="18"/>
      <c r="G11" s="18"/>
      <c r="H11" s="1"/>
      <c r="I11" s="8" t="s">
        <v>6</v>
      </c>
      <c r="J11" s="24">
        <v>1.55E-2</v>
      </c>
      <c r="K11" s="30">
        <v>2.98</v>
      </c>
      <c r="L11" s="38">
        <v>0.06</v>
      </c>
      <c r="M11" s="27">
        <f t="shared" si="0"/>
        <v>3.1587999999999998</v>
      </c>
      <c r="N11" s="28">
        <f t="shared" si="1"/>
        <v>4.6190000000000002E-2</v>
      </c>
      <c r="O11" s="1"/>
    </row>
    <row r="12" spans="2:15" ht="14.4" thickBot="1" x14ac:dyDescent="0.3">
      <c r="B12" s="17" t="s">
        <v>5</v>
      </c>
      <c r="C12" s="17"/>
      <c r="D12" s="17"/>
      <c r="E12" s="17"/>
      <c r="F12" s="17"/>
      <c r="G12" s="17"/>
      <c r="H12" s="1"/>
      <c r="I12" s="9" t="s">
        <v>19</v>
      </c>
      <c r="J12" s="24">
        <v>1.55E-2</v>
      </c>
      <c r="K12" s="30">
        <v>0.315</v>
      </c>
      <c r="L12" s="38">
        <v>0.06</v>
      </c>
      <c r="M12" s="27">
        <f t="shared" si="0"/>
        <v>0.33389999999999997</v>
      </c>
      <c r="N12" s="28">
        <f t="shared" si="1"/>
        <v>4.8824999999999997E-3</v>
      </c>
      <c r="O12" s="1"/>
    </row>
    <row r="13" spans="2:15" ht="14.4" thickTop="1" x14ac:dyDescent="0.25">
      <c r="H13" s="1"/>
      <c r="I13" s="45" t="s">
        <v>7</v>
      </c>
      <c r="J13" s="46"/>
      <c r="K13" s="46"/>
      <c r="L13" s="46"/>
      <c r="M13" s="46"/>
      <c r="N13" s="32">
        <f>SUM(N5:N12)</f>
        <v>2.770505632075472</v>
      </c>
      <c r="O13" s="1"/>
    </row>
    <row r="14" spans="2:15" x14ac:dyDescent="0.25">
      <c r="H14" s="1"/>
      <c r="I14" s="47" t="s">
        <v>2</v>
      </c>
      <c r="J14" s="48"/>
      <c r="K14" s="48"/>
      <c r="L14" s="48"/>
      <c r="M14" s="48"/>
      <c r="N14" s="12"/>
      <c r="O14" s="1"/>
    </row>
    <row r="15" spans="2:15" ht="15" customHeight="1" x14ac:dyDescent="0.25">
      <c r="H15" s="2"/>
      <c r="I15" s="49" t="s">
        <v>8</v>
      </c>
      <c r="J15" s="50"/>
      <c r="K15" s="50"/>
      <c r="L15" s="50"/>
      <c r="M15" s="50"/>
      <c r="N15" s="12"/>
      <c r="O15" s="1"/>
    </row>
    <row r="16" spans="2:15" ht="14.4" thickBot="1" x14ac:dyDescent="0.3">
      <c r="H16" s="1"/>
      <c r="I16" s="51" t="s">
        <v>3</v>
      </c>
      <c r="J16" s="52"/>
      <c r="K16" s="52"/>
      <c r="L16" s="52"/>
      <c r="M16" s="52"/>
      <c r="N16" s="13"/>
      <c r="O16" s="1"/>
    </row>
    <row r="17" spans="8:15" ht="14.4" thickTop="1" x14ac:dyDescent="0.25">
      <c r="H17" s="18"/>
      <c r="I17" s="1"/>
      <c r="J17" s="1"/>
      <c r="K17" s="1"/>
      <c r="L17" s="1"/>
      <c r="M17" s="1"/>
      <c r="N17" s="1"/>
      <c r="O17" s="18"/>
    </row>
    <row r="18" spans="8:15" x14ac:dyDescent="0.25">
      <c r="H18" s="17"/>
      <c r="I18" s="18" t="s">
        <v>4</v>
      </c>
      <c r="J18" s="18"/>
      <c r="K18" s="18"/>
      <c r="L18" s="18"/>
      <c r="M18" s="18"/>
      <c r="N18" s="18"/>
      <c r="O18" s="17"/>
    </row>
    <row r="19" spans="8:15" x14ac:dyDescent="0.25">
      <c r="I19" s="17" t="s">
        <v>5</v>
      </c>
      <c r="J19" s="17"/>
      <c r="K19" s="17"/>
      <c r="L19" s="17"/>
      <c r="M19" s="17"/>
      <c r="N19" s="17"/>
    </row>
  </sheetData>
  <mergeCells count="10">
    <mergeCell ref="I16:M16"/>
    <mergeCell ref="B9:F9"/>
    <mergeCell ref="I2:N2"/>
    <mergeCell ref="I13:M13"/>
    <mergeCell ref="I14:M14"/>
    <mergeCell ref="I15:M15"/>
    <mergeCell ref="B2:G2"/>
    <mergeCell ref="B6:F6"/>
    <mergeCell ref="B7:F7"/>
    <mergeCell ref="B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F0D5-17DD-4FE0-81AA-96CA3CB258C2}">
  <dimension ref="B1:M16"/>
  <sheetViews>
    <sheetView workbookViewId="0">
      <selection activeCell="D5" sqref="D5:D9"/>
    </sheetView>
  </sheetViews>
  <sheetFormatPr defaultRowHeight="13.8" x14ac:dyDescent="0.25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16384" width="8.88671875" style="3"/>
  </cols>
  <sheetData>
    <row r="1" spans="2:13" ht="14.4" thickBot="1" x14ac:dyDescent="0.3"/>
    <row r="2" spans="2:13" ht="18" thickBot="1" x14ac:dyDescent="0.3">
      <c r="B2" s="42" t="s">
        <v>23</v>
      </c>
      <c r="C2" s="43"/>
      <c r="D2" s="43"/>
      <c r="E2" s="43"/>
      <c r="F2" s="43"/>
      <c r="G2" s="44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4" t="s">
        <v>0</v>
      </c>
      <c r="C4" s="5" t="s">
        <v>1</v>
      </c>
      <c r="D4" s="10" t="s">
        <v>35</v>
      </c>
      <c r="E4" s="10" t="s">
        <v>36</v>
      </c>
      <c r="F4" s="10" t="s">
        <v>37</v>
      </c>
      <c r="G4" s="6" t="s">
        <v>20</v>
      </c>
      <c r="H4" s="1"/>
      <c r="I4" s="1"/>
      <c r="J4" s="1"/>
      <c r="K4" s="1"/>
      <c r="L4" s="1"/>
      <c r="M4" s="1"/>
    </row>
    <row r="5" spans="2:13" x14ac:dyDescent="0.25">
      <c r="B5" s="7" t="s">
        <v>12</v>
      </c>
      <c r="C5" s="19">
        <v>0.03</v>
      </c>
      <c r="D5" s="26">
        <v>8.8000000000000007</v>
      </c>
      <c r="E5" s="36">
        <v>0.06</v>
      </c>
      <c r="F5" s="27">
        <f>D5+(D5*E5)</f>
        <v>9.3280000000000012</v>
      </c>
      <c r="G5" s="28">
        <f>D5*C5</f>
        <v>0.26400000000000001</v>
      </c>
      <c r="H5" s="1"/>
      <c r="I5" s="1"/>
      <c r="J5" s="1"/>
      <c r="K5" s="1"/>
      <c r="L5" s="1"/>
      <c r="M5" s="1"/>
    </row>
    <row r="6" spans="2:13" x14ac:dyDescent="0.25">
      <c r="B6" s="7" t="s">
        <v>32</v>
      </c>
      <c r="C6" s="19">
        <v>2.5000000000000001E-2</v>
      </c>
      <c r="D6" s="26">
        <v>4.5999999999999996</v>
      </c>
      <c r="E6" s="36">
        <v>0.06</v>
      </c>
      <c r="F6" s="27">
        <f t="shared" ref="F6:F9" si="0">D6+(D6*E6)</f>
        <v>4.8759999999999994</v>
      </c>
      <c r="G6" s="28">
        <f t="shared" ref="G6:G9" si="1">D6*C6</f>
        <v>0.11499999999999999</v>
      </c>
      <c r="H6" s="1"/>
      <c r="I6" s="1"/>
      <c r="J6" s="1"/>
      <c r="K6" s="1"/>
      <c r="L6" s="1"/>
      <c r="M6" s="1"/>
    </row>
    <row r="7" spans="2:13" x14ac:dyDescent="0.25">
      <c r="B7" s="7" t="s">
        <v>33</v>
      </c>
      <c r="C7" s="19">
        <v>7.0000000000000001E-3</v>
      </c>
      <c r="D7" s="26">
        <v>1.1000000000000001</v>
      </c>
      <c r="E7" s="36">
        <v>0.06</v>
      </c>
      <c r="F7" s="27">
        <f t="shared" si="0"/>
        <v>1.1660000000000001</v>
      </c>
      <c r="G7" s="28">
        <f t="shared" si="1"/>
        <v>7.7000000000000011E-3</v>
      </c>
      <c r="H7" s="1"/>
      <c r="I7" s="1"/>
      <c r="J7" s="1"/>
      <c r="K7" s="1"/>
      <c r="L7" s="1"/>
      <c r="M7" s="1"/>
    </row>
    <row r="8" spans="2:13" x14ac:dyDescent="0.25">
      <c r="B8" s="7" t="s">
        <v>28</v>
      </c>
      <c r="C8" s="22">
        <v>2E-3</v>
      </c>
      <c r="D8" s="33">
        <v>1.4</v>
      </c>
      <c r="E8" s="36">
        <v>0.06</v>
      </c>
      <c r="F8" s="27">
        <f t="shared" si="0"/>
        <v>1.484</v>
      </c>
      <c r="G8" s="28">
        <f t="shared" si="1"/>
        <v>2.8E-3</v>
      </c>
      <c r="H8" s="1"/>
      <c r="I8" s="1"/>
      <c r="J8" s="1"/>
      <c r="K8" s="1"/>
      <c r="L8" s="1"/>
      <c r="M8" s="1"/>
    </row>
    <row r="9" spans="2:13" ht="14.4" thickBot="1" x14ac:dyDescent="0.3">
      <c r="B9" s="7" t="s">
        <v>6</v>
      </c>
      <c r="C9" s="22">
        <v>5.0000000000000001E-3</v>
      </c>
      <c r="D9" s="33">
        <v>2.98</v>
      </c>
      <c r="E9" s="36">
        <v>0.06</v>
      </c>
      <c r="F9" s="27">
        <f t="shared" si="0"/>
        <v>3.1587999999999998</v>
      </c>
      <c r="G9" s="28">
        <f t="shared" si="1"/>
        <v>1.49E-2</v>
      </c>
      <c r="H9" s="1"/>
      <c r="I9" s="1"/>
      <c r="J9" s="1"/>
      <c r="K9" s="1"/>
      <c r="L9" s="1"/>
      <c r="M9" s="1"/>
    </row>
    <row r="10" spans="2:13" ht="15" customHeight="1" thickTop="1" x14ac:dyDescent="0.25">
      <c r="B10" s="45" t="s">
        <v>7</v>
      </c>
      <c r="C10" s="46"/>
      <c r="D10" s="46"/>
      <c r="E10" s="46"/>
      <c r="F10" s="46"/>
      <c r="G10" s="29">
        <f>SUM(G5:G9)</f>
        <v>0.40440000000000004</v>
      </c>
      <c r="H10" s="1"/>
      <c r="I10" s="1"/>
      <c r="J10" s="1"/>
      <c r="K10" s="1"/>
      <c r="L10" s="1"/>
      <c r="M10" s="1"/>
    </row>
    <row r="11" spans="2:13" x14ac:dyDescent="0.25">
      <c r="B11" s="47" t="s">
        <v>2</v>
      </c>
      <c r="C11" s="48"/>
      <c r="D11" s="48"/>
      <c r="E11" s="48"/>
      <c r="F11" s="48"/>
      <c r="G11" s="35">
        <v>3.5</v>
      </c>
      <c r="H11" s="1"/>
      <c r="I11" s="1"/>
      <c r="J11" s="1"/>
      <c r="K11" s="1"/>
      <c r="L11" s="1"/>
      <c r="M11" s="1"/>
    </row>
    <row r="12" spans="2:13" x14ac:dyDescent="0.25">
      <c r="B12" s="49" t="s">
        <v>8</v>
      </c>
      <c r="C12" s="50"/>
      <c r="D12" s="50"/>
      <c r="E12" s="50"/>
      <c r="F12" s="50"/>
      <c r="G12" s="35">
        <f>G11/1.13</f>
        <v>3.0973451327433632</v>
      </c>
      <c r="H12" s="1"/>
      <c r="I12" s="1"/>
      <c r="J12" s="1"/>
      <c r="K12" s="1"/>
      <c r="L12" s="1"/>
      <c r="M12" s="1"/>
    </row>
    <row r="13" spans="2:13" ht="15" customHeight="1" thickBot="1" x14ac:dyDescent="0.3">
      <c r="B13" s="51" t="s">
        <v>3</v>
      </c>
      <c r="C13" s="52"/>
      <c r="D13" s="52"/>
      <c r="E13" s="52"/>
      <c r="F13" s="52"/>
      <c r="G13" s="13">
        <f>G10/G12</f>
        <v>0.13056342857142858</v>
      </c>
      <c r="H13" s="2"/>
      <c r="I13" s="1"/>
      <c r="J13" s="1"/>
      <c r="K13" s="1"/>
      <c r="L13" s="1"/>
      <c r="M13" s="1"/>
    </row>
    <row r="14" spans="2:13" ht="14.4" thickTop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 x14ac:dyDescent="0.25">
      <c r="B15" s="54" t="s">
        <v>4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</row>
    <row r="16" spans="2:13" x14ac:dyDescent="0.25">
      <c r="B16" s="53" t="s">
        <v>5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</row>
  </sheetData>
  <mergeCells count="7">
    <mergeCell ref="B16:M16"/>
    <mergeCell ref="B2:G2"/>
    <mergeCell ref="B15:M15"/>
    <mergeCell ref="B10:F10"/>
    <mergeCell ref="B11:F11"/>
    <mergeCell ref="B12:F12"/>
    <mergeCell ref="B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7DC2-8127-477D-908A-1FE72D0EAD07}">
  <dimension ref="B1:M17"/>
  <sheetViews>
    <sheetView workbookViewId="0">
      <selection activeCell="D5" sqref="D5:D10"/>
    </sheetView>
  </sheetViews>
  <sheetFormatPr defaultRowHeight="13.8" x14ac:dyDescent="0.25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16384" width="8.88671875" style="3"/>
  </cols>
  <sheetData>
    <row r="1" spans="2:13" ht="14.4" thickBot="1" x14ac:dyDescent="0.3"/>
    <row r="2" spans="2:13" ht="18" thickBot="1" x14ac:dyDescent="0.3">
      <c r="B2" s="42" t="s">
        <v>27</v>
      </c>
      <c r="C2" s="43"/>
      <c r="D2" s="43"/>
      <c r="E2" s="43"/>
      <c r="F2" s="43"/>
      <c r="G2" s="44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4" t="s">
        <v>0</v>
      </c>
      <c r="C4" s="5" t="s">
        <v>1</v>
      </c>
      <c r="D4" s="10" t="s">
        <v>35</v>
      </c>
      <c r="E4" s="10" t="s">
        <v>36</v>
      </c>
      <c r="F4" s="10" t="s">
        <v>37</v>
      </c>
      <c r="G4" s="6" t="s">
        <v>20</v>
      </c>
      <c r="H4" s="1"/>
      <c r="I4" s="1"/>
      <c r="J4" s="1"/>
      <c r="K4" s="1"/>
      <c r="L4" s="1"/>
      <c r="M4" s="1"/>
    </row>
    <row r="5" spans="2:13" x14ac:dyDescent="0.25">
      <c r="B5" s="7" t="s">
        <v>13</v>
      </c>
      <c r="C5" s="19">
        <v>3.5000000000000003E-2</v>
      </c>
      <c r="D5" s="26">
        <v>1.1000000000000001</v>
      </c>
      <c r="E5" s="36">
        <v>0.06</v>
      </c>
      <c r="F5" s="27">
        <f>D5+(D5*E5)</f>
        <v>1.1660000000000001</v>
      </c>
      <c r="G5" s="28">
        <f>D5*C5</f>
        <v>3.8500000000000006E-2</v>
      </c>
      <c r="H5" s="1"/>
      <c r="I5" s="1"/>
      <c r="J5" s="1"/>
      <c r="K5" s="1"/>
      <c r="L5" s="1"/>
      <c r="M5" s="1"/>
    </row>
    <row r="6" spans="2:13" x14ac:dyDescent="0.25">
      <c r="B6" s="7" t="s">
        <v>14</v>
      </c>
      <c r="C6" s="19">
        <v>0.06</v>
      </c>
      <c r="D6" s="26">
        <v>3.4</v>
      </c>
      <c r="E6" s="36">
        <v>0.06</v>
      </c>
      <c r="F6" s="27">
        <f t="shared" ref="F6:F10" si="0">D6+(D6*E6)</f>
        <v>3.6040000000000001</v>
      </c>
      <c r="G6" s="28">
        <f t="shared" ref="G6:G10" si="1">D6*C6</f>
        <v>0.20399999999999999</v>
      </c>
      <c r="H6" s="1"/>
      <c r="I6" s="1"/>
      <c r="J6" s="1"/>
      <c r="K6" s="1"/>
      <c r="L6" s="1"/>
      <c r="M6" s="1"/>
    </row>
    <row r="7" spans="2:13" x14ac:dyDescent="0.25">
      <c r="B7" s="7" t="s">
        <v>15</v>
      </c>
      <c r="C7" s="19">
        <v>0.08</v>
      </c>
      <c r="D7" s="26">
        <v>3.2</v>
      </c>
      <c r="E7" s="36">
        <v>0.06</v>
      </c>
      <c r="F7" s="27">
        <f t="shared" si="0"/>
        <v>3.3920000000000003</v>
      </c>
      <c r="G7" s="28">
        <f t="shared" si="1"/>
        <v>0.25600000000000001</v>
      </c>
      <c r="H7" s="1"/>
      <c r="I7" s="1"/>
      <c r="J7" s="1"/>
      <c r="K7" s="1"/>
      <c r="L7" s="1"/>
      <c r="M7" s="1"/>
    </row>
    <row r="8" spans="2:13" x14ac:dyDescent="0.25">
      <c r="B8" s="7" t="s">
        <v>6</v>
      </c>
      <c r="C8" s="19">
        <v>0.01</v>
      </c>
      <c r="D8" s="26">
        <v>2.98</v>
      </c>
      <c r="E8" s="36">
        <v>0.06</v>
      </c>
      <c r="F8" s="27">
        <f t="shared" si="0"/>
        <v>3.1587999999999998</v>
      </c>
      <c r="G8" s="28">
        <f t="shared" si="1"/>
        <v>2.98E-2</v>
      </c>
      <c r="H8" s="1"/>
      <c r="I8" s="1"/>
      <c r="J8" s="1"/>
      <c r="K8" s="1"/>
      <c r="L8" s="1"/>
      <c r="M8" s="1"/>
    </row>
    <row r="9" spans="2:13" x14ac:dyDescent="0.25">
      <c r="B9" s="8" t="s">
        <v>17</v>
      </c>
      <c r="C9" s="20" t="s">
        <v>29</v>
      </c>
      <c r="D9" s="31"/>
      <c r="E9" s="37" t="s">
        <v>29</v>
      </c>
      <c r="F9" s="27" t="s">
        <v>29</v>
      </c>
      <c r="G9" s="28" t="s">
        <v>29</v>
      </c>
      <c r="H9" s="1"/>
      <c r="I9" s="1"/>
      <c r="J9" s="1"/>
      <c r="K9" s="1"/>
      <c r="L9" s="1"/>
      <c r="M9" s="1"/>
    </row>
    <row r="10" spans="2:13" ht="14.4" thickBot="1" x14ac:dyDescent="0.3">
      <c r="B10" s="14" t="s">
        <v>19</v>
      </c>
      <c r="C10" s="21">
        <v>5.0000000000000001E-3</v>
      </c>
      <c r="D10" s="30">
        <v>0.315</v>
      </c>
      <c r="E10" s="38">
        <v>0.06</v>
      </c>
      <c r="F10" s="27">
        <f t="shared" si="0"/>
        <v>0.33389999999999997</v>
      </c>
      <c r="G10" s="28">
        <f t="shared" si="1"/>
        <v>1.575E-3</v>
      </c>
      <c r="H10" s="1"/>
      <c r="I10" s="1"/>
      <c r="J10" s="1"/>
      <c r="K10" s="1"/>
      <c r="L10" s="1"/>
      <c r="M10" s="1"/>
    </row>
    <row r="11" spans="2:13" ht="15" customHeight="1" thickTop="1" x14ac:dyDescent="0.25">
      <c r="B11" s="45" t="s">
        <v>7</v>
      </c>
      <c r="C11" s="46"/>
      <c r="D11" s="46"/>
      <c r="E11" s="46"/>
      <c r="F11" s="46"/>
      <c r="G11" s="32">
        <f>SUM(G5:G10)</f>
        <v>0.52987499999999998</v>
      </c>
      <c r="H11" s="1"/>
      <c r="I11" s="1"/>
      <c r="J11" s="1"/>
      <c r="K11" s="1"/>
      <c r="L11" s="1"/>
      <c r="M11" s="1"/>
    </row>
    <row r="12" spans="2:13" x14ac:dyDescent="0.25">
      <c r="B12" s="47" t="s">
        <v>2</v>
      </c>
      <c r="C12" s="48"/>
      <c r="D12" s="48"/>
      <c r="E12" s="48"/>
      <c r="F12" s="48"/>
      <c r="G12" s="35">
        <v>3.5</v>
      </c>
      <c r="H12" s="1"/>
      <c r="I12" s="1"/>
      <c r="J12" s="1"/>
      <c r="K12" s="1"/>
      <c r="L12" s="1"/>
      <c r="M12" s="1"/>
    </row>
    <row r="13" spans="2:13" x14ac:dyDescent="0.25">
      <c r="B13" s="49" t="s">
        <v>8</v>
      </c>
      <c r="C13" s="50"/>
      <c r="D13" s="50"/>
      <c r="E13" s="50"/>
      <c r="F13" s="50"/>
      <c r="G13" s="35">
        <f>G12/1.13</f>
        <v>3.0973451327433632</v>
      </c>
      <c r="H13" s="1"/>
      <c r="I13" s="1"/>
      <c r="J13" s="1"/>
      <c r="K13" s="1"/>
      <c r="L13" s="1"/>
      <c r="M13" s="1"/>
    </row>
    <row r="14" spans="2:13" ht="15" customHeight="1" thickBot="1" x14ac:dyDescent="0.3">
      <c r="B14" s="51" t="s">
        <v>3</v>
      </c>
      <c r="C14" s="52"/>
      <c r="D14" s="52"/>
      <c r="E14" s="52"/>
      <c r="F14" s="52"/>
      <c r="G14" s="13">
        <f>G11/G13</f>
        <v>0.17107392857142856</v>
      </c>
      <c r="H14" s="2"/>
      <c r="I14" s="1"/>
      <c r="J14" s="1"/>
      <c r="K14" s="1"/>
      <c r="L14" s="1"/>
      <c r="M14" s="1"/>
    </row>
    <row r="15" spans="2:13" ht="14.4" thickTop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 x14ac:dyDescent="0.25">
      <c r="B16" s="54" t="s">
        <v>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</row>
    <row r="17" spans="2:13" x14ac:dyDescent="0.25">
      <c r="B17" s="53" t="s">
        <v>5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</row>
  </sheetData>
  <mergeCells count="7">
    <mergeCell ref="B17:M17"/>
    <mergeCell ref="B2:G2"/>
    <mergeCell ref="B16:M16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F99E-7671-41D3-BC79-C33CF55205CC}">
  <dimension ref="B1:M14"/>
  <sheetViews>
    <sheetView workbookViewId="0">
      <selection activeCell="E5" sqref="E5:E7"/>
    </sheetView>
  </sheetViews>
  <sheetFormatPr defaultRowHeight="13.8" x14ac:dyDescent="0.25"/>
  <cols>
    <col min="1" max="1" width="8.88671875" style="3"/>
    <col min="2" max="2" width="20.77734375" style="3" customWidth="1"/>
    <col min="3" max="4" width="12.77734375" style="3" customWidth="1"/>
    <col min="5" max="5" width="6.77734375" style="3" customWidth="1"/>
    <col min="6" max="7" width="12.77734375" style="3" customWidth="1"/>
    <col min="8" max="16384" width="8.88671875" style="3"/>
  </cols>
  <sheetData>
    <row r="1" spans="2:13" ht="14.4" thickBot="1" x14ac:dyDescent="0.3"/>
    <row r="2" spans="2:13" ht="18" thickBot="1" x14ac:dyDescent="0.3">
      <c r="B2" s="42" t="s">
        <v>22</v>
      </c>
      <c r="C2" s="43"/>
      <c r="D2" s="43"/>
      <c r="E2" s="43"/>
      <c r="F2" s="43"/>
      <c r="G2" s="44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4" t="s">
        <v>0</v>
      </c>
      <c r="C4" s="5" t="s">
        <v>1</v>
      </c>
      <c r="D4" s="10" t="s">
        <v>35</v>
      </c>
      <c r="E4" s="10" t="s">
        <v>36</v>
      </c>
      <c r="F4" s="10" t="s">
        <v>37</v>
      </c>
      <c r="G4" s="6" t="s">
        <v>20</v>
      </c>
      <c r="H4" s="1"/>
      <c r="I4" s="1"/>
      <c r="J4" s="1"/>
      <c r="K4" s="1"/>
      <c r="L4" s="1"/>
      <c r="M4" s="1"/>
    </row>
    <row r="5" spans="2:13" x14ac:dyDescent="0.25">
      <c r="B5" s="7" t="s">
        <v>34</v>
      </c>
      <c r="C5" s="19">
        <v>0.19</v>
      </c>
      <c r="D5" s="26">
        <v>2.3199999999999998</v>
      </c>
      <c r="E5" s="36">
        <v>0.23</v>
      </c>
      <c r="F5" s="27">
        <f>D5+(D5*E5)</f>
        <v>2.8535999999999997</v>
      </c>
      <c r="G5" s="28">
        <f>D5*C5</f>
        <v>0.44079999999999997</v>
      </c>
      <c r="H5" s="1"/>
      <c r="I5" s="1"/>
      <c r="J5" s="1"/>
      <c r="K5" s="1"/>
      <c r="L5" s="1"/>
      <c r="M5" s="1"/>
    </row>
    <row r="6" spans="2:13" x14ac:dyDescent="0.25">
      <c r="B6" s="7" t="s">
        <v>16</v>
      </c>
      <c r="C6" s="19" t="s">
        <v>29</v>
      </c>
      <c r="D6" s="26" t="s">
        <v>29</v>
      </c>
      <c r="E6" s="36" t="s">
        <v>29</v>
      </c>
      <c r="F6" s="27" t="s">
        <v>29</v>
      </c>
      <c r="G6" s="28" t="s">
        <v>29</v>
      </c>
      <c r="H6" s="1"/>
      <c r="I6" s="1"/>
      <c r="J6" s="1"/>
      <c r="K6" s="1"/>
      <c r="L6" s="1"/>
      <c r="M6" s="1"/>
    </row>
    <row r="7" spans="2:13" ht="14.4" thickBot="1" x14ac:dyDescent="0.3">
      <c r="B7" s="7" t="s">
        <v>28</v>
      </c>
      <c r="C7" s="22">
        <v>0.08</v>
      </c>
      <c r="D7" s="33">
        <v>1.4</v>
      </c>
      <c r="E7" s="39">
        <v>0.06</v>
      </c>
      <c r="F7" s="27">
        <f t="shared" ref="F7" si="0">D7+(D7*E7)</f>
        <v>1.484</v>
      </c>
      <c r="G7" s="28">
        <f t="shared" ref="G7" si="1">D7*C7</f>
        <v>0.11199999999999999</v>
      </c>
      <c r="H7" s="1"/>
      <c r="I7" s="1"/>
      <c r="J7" s="1"/>
      <c r="K7" s="1"/>
      <c r="L7" s="1"/>
      <c r="M7" s="1"/>
    </row>
    <row r="8" spans="2:13" ht="15" customHeight="1" thickTop="1" x14ac:dyDescent="0.25">
      <c r="B8" s="45" t="s">
        <v>7</v>
      </c>
      <c r="C8" s="46"/>
      <c r="D8" s="46"/>
      <c r="E8" s="46"/>
      <c r="F8" s="46"/>
      <c r="G8" s="29">
        <f>SUM(G5:G7)</f>
        <v>0.55279999999999996</v>
      </c>
      <c r="H8" s="1"/>
      <c r="I8" s="1"/>
      <c r="J8" s="1"/>
      <c r="K8" s="1"/>
      <c r="L8" s="1"/>
      <c r="M8" s="1"/>
    </row>
    <row r="9" spans="2:13" x14ac:dyDescent="0.25">
      <c r="B9" s="47" t="s">
        <v>2</v>
      </c>
      <c r="C9" s="48"/>
      <c r="D9" s="48"/>
      <c r="E9" s="48"/>
      <c r="F9" s="48"/>
      <c r="G9" s="35">
        <v>3.5</v>
      </c>
      <c r="H9" s="1"/>
      <c r="I9" s="1"/>
      <c r="J9" s="1"/>
      <c r="K9" s="1"/>
      <c r="L9" s="1"/>
      <c r="M9" s="1"/>
    </row>
    <row r="10" spans="2:13" x14ac:dyDescent="0.25">
      <c r="B10" s="49" t="s">
        <v>8</v>
      </c>
      <c r="C10" s="50"/>
      <c r="D10" s="50"/>
      <c r="E10" s="50"/>
      <c r="F10" s="50"/>
      <c r="G10" s="35">
        <f>G9/1.13</f>
        <v>3.0973451327433632</v>
      </c>
      <c r="H10" s="1"/>
      <c r="I10" s="1"/>
      <c r="J10" s="1"/>
      <c r="K10" s="1"/>
      <c r="L10" s="1"/>
      <c r="M10" s="1"/>
    </row>
    <row r="11" spans="2:13" ht="15" customHeight="1" thickBot="1" x14ac:dyDescent="0.3">
      <c r="B11" s="51" t="s">
        <v>3</v>
      </c>
      <c r="C11" s="52"/>
      <c r="D11" s="52"/>
      <c r="E11" s="52"/>
      <c r="F11" s="52"/>
      <c r="G11" s="13">
        <f>G8/G10</f>
        <v>0.17847542857142853</v>
      </c>
      <c r="H11" s="2"/>
      <c r="I11" s="1"/>
      <c r="J11" s="1"/>
      <c r="K11" s="1"/>
      <c r="L11" s="1"/>
      <c r="M11" s="1"/>
    </row>
    <row r="12" spans="2:13" ht="14.4" thickTop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2:13" x14ac:dyDescent="0.25">
      <c r="B13" s="54" t="s">
        <v>4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2:13" x14ac:dyDescent="0.25">
      <c r="B14" s="53" t="s">
        <v>5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</row>
  </sheetData>
  <mergeCells count="7">
    <mergeCell ref="B14:M14"/>
    <mergeCell ref="B2:G2"/>
    <mergeCell ref="B13:M13"/>
    <mergeCell ref="B8:F8"/>
    <mergeCell ref="B9:F9"/>
    <mergeCell ref="B10:F10"/>
    <mergeCell ref="B11:F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Arroz</vt:lpstr>
      <vt:lpstr>Feijão</vt:lpstr>
      <vt:lpstr>Salada</vt:lpstr>
      <vt:lpstr>Mix Legumes</vt:lpstr>
      <vt:lpstr>Batatas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2026-06-15T20:47:41Z</dcterms:created>
  <dcterms:modified xsi:type="dcterms:W3CDTF">2026-08-20T11:25:02Z</dcterms:modified>
</cp:coreProperties>
</file>