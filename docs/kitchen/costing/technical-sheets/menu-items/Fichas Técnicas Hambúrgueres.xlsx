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5a07027276a17f/Documentos/Ribbaí/Fichas Técnicas/"/>
    </mc:Choice>
  </mc:AlternateContent>
  <xr:revisionPtr revIDLastSave="274" documentId="8_{6D80BEB3-1259-4CF4-8BA2-5F72BA620173}" xr6:coauthVersionLast="47" xr6:coauthVersionMax="47" xr10:uidLastSave="{C8821B7B-93FA-45F4-A235-57FD00E23915}"/>
  <bookViews>
    <workbookView xWindow="-108" yWindow="-108" windowWidth="23256" windowHeight="12456" xr2:uid="{9C97DF5B-FED8-4203-8FF5-51197C1A8DD3}"/>
  </bookViews>
  <sheets>
    <sheet name="Ribbaí" sheetId="1" r:id="rId1"/>
    <sheet name="BBK" sheetId="2" r:id="rId2"/>
    <sheet name="Queijo e Bacon" sheetId="3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<sst xmlns="http://schemas.openxmlformats.org/spreadsheetml/2006/main" count="82" uniqueCount="30">
  <si>
    <t>Ingredientes</t>
  </si>
  <si>
    <t>Quantidades</t>
  </si>
  <si>
    <t>Preço Venda c/Iva</t>
  </si>
  <si>
    <t>% food cost</t>
  </si>
  <si>
    <t xml:space="preserve">Preparação: </t>
  </si>
  <si>
    <r>
      <t>Serviço:</t>
    </r>
    <r>
      <rPr>
        <sz val="11"/>
        <color theme="1"/>
        <rFont val="Arial"/>
        <family val="2"/>
      </rPr>
      <t xml:space="preserve"> </t>
    </r>
  </si>
  <si>
    <t>HAMBÚRGUER RIBBAÍ</t>
  </si>
  <si>
    <t>HAMBÚRGUER BBK</t>
  </si>
  <si>
    <t>HAMBÚRGUER QUEIJO E BACON</t>
  </si>
  <si>
    <t>Custo Mercadoria s/Iva</t>
  </si>
  <si>
    <t>Hambúrguer</t>
  </si>
  <si>
    <t>Cebola Frita</t>
  </si>
  <si>
    <t>Molho Barbecue</t>
  </si>
  <si>
    <t>Óleo AR</t>
  </si>
  <si>
    <t>Preço Venda s/Iva</t>
  </si>
  <si>
    <t>Custo</t>
  </si>
  <si>
    <t>-</t>
  </si>
  <si>
    <t>Sal grosso</t>
  </si>
  <si>
    <t>Pimentos assados</t>
  </si>
  <si>
    <t>Cogumelos assados</t>
  </si>
  <si>
    <t>Cebola caramelizada</t>
  </si>
  <si>
    <t>Bacon fatias</t>
  </si>
  <si>
    <t>Batatas (dose)</t>
  </si>
  <si>
    <t>Salada ibérica</t>
  </si>
  <si>
    <t>Pão hambúrguer</t>
  </si>
  <si>
    <t>Queijo cheddar</t>
  </si>
  <si>
    <t>Queiho cheddar</t>
  </si>
  <si>
    <t>Preço s/ IVA</t>
  </si>
  <si>
    <t>IVA</t>
  </si>
  <si>
    <t>Preço c/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</si>
</sst>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10" fontId="3" fillId="0" borderId="0" xfId="1" applyNumberFormat="1" applyFont="1" applyAlignment="1">
      <alignment vertical="center"/>
    </xf>
    <xf numFmtId="0" fontId="3" fillId="0" borderId="13" xfId="0" applyFont="1" applyBorder="1" applyAlignment="1">
      <alignment horizontal="left"/>
    </xf>
    <xf numFmtId="0" fontId="3" fillId="0" borderId="0" xfId="0" applyFont="1"/>
    <xf numFmtId="0" fontId="4" fillId="2" borderId="14" xfId="0" applyFont="1" applyFill="1" applyBorder="1" applyAlignment="1">
      <alignment horizontal="center" vertical="center"/>
    </xf>
    <xf numFmtId="9" fontId="4" fillId="2" borderId="23" xfId="1" applyFont="1" applyFill="1" applyBorder="1" applyAlignment="1">
      <alignment vertical="center"/>
    </xf>
    <xf numFmtId="0" fontId="3" fillId="3" borderId="8" xfId="0" applyFont="1" applyFill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3" borderId="24" xfId="0" applyFont="1" applyFill="1" applyBorder="1" applyAlignment="1">
      <alignment horizontal="right" vertical="center"/>
    </xf>
    <xf numFmtId="164" fontId="3" fillId="3" borderId="8" xfId="0" applyNumberFormat="1" applyFont="1" applyFill="1" applyBorder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/>
    </xf>
    <xf numFmtId="164" fontId="3" fillId="0" borderId="11" xfId="0" applyNumberFormat="1" applyFont="1" applyBorder="1" applyAlignment="1">
      <alignment horizontal="right" vertical="center"/>
    </xf>
    <xf numFmtId="164" fontId="4" fillId="3" borderId="9" xfId="0" applyNumberFormat="1" applyFont="1" applyFill="1" applyBorder="1" applyAlignment="1">
      <alignment horizontal="right" vertical="center"/>
    </xf>
    <xf numFmtId="164" fontId="4" fillId="0" borderId="21" xfId="2" applyNumberFormat="1" applyFont="1" applyBorder="1" applyAlignment="1">
      <alignment horizontal="right" vertical="center"/>
    </xf>
    <xf numFmtId="164" fontId="3" fillId="0" borderId="12" xfId="0" applyNumberFormat="1" applyFont="1" applyBorder="1" applyAlignment="1">
      <alignment horizontal="right" vertical="center"/>
    </xf>
    <xf numFmtId="164" fontId="3" fillId="3" borderId="24" xfId="0" applyNumberFormat="1" applyFont="1" applyFill="1" applyBorder="1" applyAlignment="1">
      <alignment horizontal="right" vertical="center"/>
    </xf>
    <xf numFmtId="164" fontId="4" fillId="0" borderId="22" xfId="2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9" fontId="3" fillId="3" borderId="24" xfId="1" applyFont="1" applyFill="1" applyBorder="1" applyAlignment="1">
      <alignment horizontal="center" vertical="center"/>
    </xf>
    <xf numFmtId="9" fontId="3" fillId="0" borderId="24" xfId="1" applyFont="1" applyBorder="1" applyAlignment="1">
      <alignment horizontal="center" vertical="center"/>
    </xf>
    <xf numFmtId="9" fontId="3" fillId="0" borderId="26" xfId="1" applyFont="1" applyBorder="1" applyAlignment="1">
      <alignment horizontal="center" vertical="center"/>
    </xf>
    <xf numFmtId="9" fontId="3" fillId="0" borderId="25" xfId="1" applyFont="1" applyBorder="1" applyAlignment="1">
      <alignment horizontal="center" vertical="center"/>
    </xf>
  </cellXfs>
  <cellStyles count="3">
    <cellStyle name="Moeda 2" xfId="2" xr:uid="{9C7B98F3-FCB7-4ACE-91CE-0131DEE40660}"/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076F-055A-48D6-A7CE-B77B56EEEDCE}">
  <dimension ref="B1:M21"/>
  <sheetViews>
    <sheetView tabSelected="1" workbookViewId="0">
      <selection activeCell="E5" sqref="E5:E14"/>
    </sheetView>
  </sheetViews>
  <sheetFormatPr defaultRowHeight="13.8" x14ac:dyDescent="0.25"/>
  <cols>
    <col min="1" max="1" width="8.88671875" style="11"/>
    <col min="2" max="2" width="20.77734375" style="11" customWidth="1"/>
    <col min="3" max="4" width="12.77734375" style="11" customWidth="1"/>
    <col min="5" max="5" width="6.77734375" style="11" customWidth="1"/>
    <col min="6" max="7" width="12.77734375" style="11" customWidth="1"/>
    <col min="8" max="16384" width="8.88671875" style="11"/>
  </cols>
  <sheetData>
    <row r="1" spans="2:13" ht="14.4" thickBot="1" x14ac:dyDescent="0.3"/>
    <row r="2" spans="2:13" ht="18" thickBot="1" x14ac:dyDescent="0.3">
      <c r="B2" s="32" t="s">
        <v>6</v>
      </c>
      <c r="C2" s="33"/>
      <c r="D2" s="33"/>
      <c r="E2" s="33"/>
      <c r="F2" s="33"/>
      <c r="G2" s="34"/>
      <c r="H2" s="1"/>
      <c r="I2" s="1"/>
      <c r="J2" s="1"/>
      <c r="K2" s="1"/>
      <c r="L2" s="1"/>
      <c r="M2" s="1"/>
    </row>
    <row r="3" spans="2:13" ht="14.4" thickBo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 ht="14.4" thickTop="1" x14ac:dyDescent="0.25">
      <c r="B4" s="2" t="s">
        <v>0</v>
      </c>
      <c r="C4" s="3" t="s">
        <v>1</v>
      </c>
      <c r="D4" s="12" t="s">
        <v>27</v>
      </c>
      <c r="E4" s="12" t="s">
        <v>28</v>
      </c>
      <c r="F4" s="12" t="s">
        <v>29</v>
      </c>
      <c r="G4" s="4" t="s">
        <v>15</v>
      </c>
      <c r="H4" s="1"/>
      <c r="I4" s="1"/>
      <c r="J4" s="1"/>
      <c r="K4" s="1"/>
      <c r="L4" s="1"/>
      <c r="M4" s="1"/>
    </row>
    <row r="5" spans="2:13" x14ac:dyDescent="0.25">
      <c r="B5" s="5" t="s">
        <v>24</v>
      </c>
      <c r="C5" s="14">
        <v>1</v>
      </c>
      <c r="D5" s="23">
        <v>0.7075471698113207</v>
      </c>
      <c r="E5" s="44">
        <v>0.06</v>
      </c>
      <c r="F5" s="29">
        <f>D5+(D5*E5)</f>
        <v>0.75</v>
      </c>
      <c r="G5" s="26">
        <f>D5*C5</f>
        <v>0.7075471698113207</v>
      </c>
      <c r="H5" s="1"/>
      <c r="I5" s="1"/>
      <c r="J5" s="1"/>
      <c r="K5" s="1"/>
      <c r="L5" s="1"/>
      <c r="M5" s="1"/>
    </row>
    <row r="6" spans="2:13" x14ac:dyDescent="0.25">
      <c r="B6" s="5" t="s">
        <v>10</v>
      </c>
      <c r="C6" s="14">
        <v>0.17</v>
      </c>
      <c r="D6" s="23">
        <v>7.528301886792453</v>
      </c>
      <c r="E6" s="44">
        <v>0.06</v>
      </c>
      <c r="F6" s="29">
        <f t="shared" ref="F6:F13" si="0">D6+(D6*E6)</f>
        <v>7.9799999999999995</v>
      </c>
      <c r="G6" s="26">
        <f t="shared" ref="G6:G13" si="1">D6*C6</f>
        <v>1.279811320754717</v>
      </c>
      <c r="H6" s="1"/>
      <c r="I6" s="1"/>
      <c r="J6" s="1"/>
      <c r="K6" s="1"/>
      <c r="L6" s="1"/>
      <c r="M6" s="1"/>
    </row>
    <row r="7" spans="2:13" x14ac:dyDescent="0.25">
      <c r="B7" s="5" t="s">
        <v>25</v>
      </c>
      <c r="C7" s="14">
        <v>0.01</v>
      </c>
      <c r="D7" s="23">
        <v>5.13</v>
      </c>
      <c r="E7" s="44">
        <v>0.23</v>
      </c>
      <c r="F7" s="29">
        <f t="shared" si="0"/>
        <v>6.3099</v>
      </c>
      <c r="G7" s="26">
        <f t="shared" si="1"/>
        <v>0.0513</v>
      </c>
      <c r="H7" s="1"/>
      <c r="I7" s="1"/>
      <c r="J7" s="1"/>
      <c r="K7" s="1"/>
      <c r="L7" s="1"/>
      <c r="M7" s="1"/>
    </row>
    <row r="8" spans="2:13" x14ac:dyDescent="0.25">
      <c r="B8" s="5" t="s">
        <v>20</v>
      </c>
      <c r="C8" s="14">
        <v>0.01</v>
      </c>
      <c r="D8" s="23">
        <v>1.07492</v>
      </c>
      <c r="E8" s="44"/>
      <c r="F8" s="29">
        <f t="shared" si="0"/>
        <v>1.07492</v>
      </c>
      <c r="G8" s="26">
        <f t="shared" si="1"/>
        <v>0.0107492</v>
      </c>
      <c r="H8" s="1"/>
      <c r="I8" s="1"/>
      <c r="J8" s="1"/>
      <c r="K8" s="1"/>
      <c r="L8" s="1"/>
      <c r="M8" s="1"/>
    </row>
    <row r="9" spans="2:13" x14ac:dyDescent="0.25">
      <c r="B9" s="6" t="s">
        <v>18</v>
      </c>
      <c r="C9" s="15">
        <v>0.01</v>
      </c>
      <c r="D9" s="24">
        <v>3.3</v>
      </c>
      <c r="E9" s="45">
        <v>0.06</v>
      </c>
      <c r="F9" s="29">
        <f t="shared" si="0"/>
        <v>3.4979999999999998</v>
      </c>
      <c r="G9" s="26">
        <f t="shared" si="1"/>
        <v>0.033</v>
      </c>
      <c r="H9" s="1"/>
      <c r="I9" s="1"/>
      <c r="J9" s="1"/>
      <c r="K9" s="1"/>
      <c r="L9" s="1"/>
      <c r="M9" s="1"/>
    </row>
    <row r="10" spans="2:13" x14ac:dyDescent="0.25">
      <c r="B10" s="7" t="s">
        <v>19</v>
      </c>
      <c r="C10" s="15">
        <v>0.01</v>
      </c>
      <c r="D10" s="24">
        <v>3.848285</v>
      </c>
      <c r="E10" s="45"/>
      <c r="F10" s="29">
        <f t="shared" si="0"/>
        <v>3.848285</v>
      </c>
      <c r="G10" s="26">
        <f t="shared" si="1"/>
        <v>0.038482850000000006</v>
      </c>
      <c r="H10" s="1"/>
      <c r="I10" s="1"/>
      <c r="J10" s="1"/>
      <c r="K10" s="1"/>
      <c r="L10" s="1"/>
      <c r="M10" s="1"/>
    </row>
    <row r="11" spans="2:13" x14ac:dyDescent="0.25">
      <c r="B11" s="7" t="s">
        <v>23</v>
      </c>
      <c r="C11" s="15">
        <v>5.0000000000000001E-3</v>
      </c>
      <c r="D11" s="24">
        <v>8.8</v>
      </c>
      <c r="E11" s="45">
        <v>0.06</v>
      </c>
      <c r="F11" s="29">
        <f t="shared" si="0"/>
        <v>9.328000000000001</v>
      </c>
      <c r="G11" s="26">
        <f t="shared" si="1"/>
        <v>0.044000000000000004</v>
      </c>
      <c r="H11" s="1"/>
      <c r="I11" s="1"/>
      <c r="J11" s="1"/>
      <c r="K11" s="1"/>
      <c r="L11" s="1"/>
      <c r="M11" s="1"/>
    </row>
    <row r="12" spans="2:13" x14ac:dyDescent="0.25">
      <c r="B12" s="6" t="s">
        <v>22</v>
      </c>
      <c r="C12" s="16">
        <v>1</v>
      </c>
      <c r="D12" s="28">
        <v>0.5528</v>
      </c>
      <c r="E12" s="47"/>
      <c r="F12" s="29">
        <f t="shared" si="0"/>
        <v>0.5528</v>
      </c>
      <c r="G12" s="26">
        <f t="shared" si="1"/>
        <v>0.5528</v>
      </c>
      <c r="H12" s="1"/>
      <c r="I12" s="1"/>
      <c r="J12" s="1"/>
      <c r="K12" s="1"/>
      <c r="L12" s="1"/>
      <c r="M12" s="1"/>
    </row>
    <row r="13" spans="2:13" x14ac:dyDescent="0.25">
      <c r="B13" s="6" t="s">
        <v>17</v>
      </c>
      <c r="C13" s="16">
        <v>0.01</v>
      </c>
      <c r="D13" s="28">
        <v>0.315</v>
      </c>
      <c r="E13" s="47">
        <v>0.06</v>
      </c>
      <c r="F13" s="29">
        <f t="shared" si="0"/>
        <v>0.3339</v>
      </c>
      <c r="G13" s="26">
        <f t="shared" si="1"/>
        <v>0.00315</v>
      </c>
      <c r="H13" s="1"/>
      <c r="I13" s="1"/>
      <c r="J13" s="1"/>
      <c r="K13" s="1"/>
      <c r="L13" s="1"/>
      <c r="M13" s="1"/>
    </row>
    <row r="14" spans="2:13" ht="14.4" thickBot="1" x14ac:dyDescent="0.3">
      <c r="B14" s="10" t="s">
        <v>13</v>
      </c>
      <c r="C14" s="17" t="s">
        <v>16</v>
      </c>
      <c r="D14" s="25" t="s">
        <v>16</v>
      </c>
      <c r="E14" s="46" t="s">
        <v>16</v>
      </c>
      <c r="F14" s="29" t="s">
        <v>16</v>
      </c>
      <c r="G14" s="26" t="s">
        <v>16</v>
      </c>
      <c r="H14" s="1"/>
      <c r="I14" s="1"/>
      <c r="J14" s="1"/>
      <c r="K14" s="1"/>
      <c r="L14" s="1"/>
      <c r="M14" s="1"/>
    </row>
    <row r="15" spans="2:13" ht="14.4" thickTop="1" x14ac:dyDescent="0.25">
      <c r="B15" s="36" t="s">
        <v>9</v>
      </c>
      <c r="C15" s="37"/>
      <c r="D15" s="37"/>
      <c r="E15" s="18"/>
      <c r="F15" s="18"/>
      <c r="G15" s="27">
        <f>SUM(G5:G14)</f>
        <v>2.7208405405660376</v>
      </c>
      <c r="H15" s="1"/>
      <c r="I15" s="1"/>
      <c r="J15" s="1"/>
      <c r="K15" s="1"/>
      <c r="L15" s="1"/>
      <c r="M15" s="1"/>
    </row>
    <row r="16" spans="2:13" x14ac:dyDescent="0.25">
      <c r="B16" s="38" t="s">
        <v>2</v>
      </c>
      <c r="C16" s="39"/>
      <c r="D16" s="39"/>
      <c r="E16" s="19"/>
      <c r="F16" s="19"/>
      <c r="G16" s="30">
        <v>17.5</v>
      </c>
      <c r="H16" s="1"/>
      <c r="I16" s="1"/>
      <c r="J16" s="1"/>
      <c r="K16" s="1"/>
      <c r="L16" s="1"/>
      <c r="M16" s="1"/>
    </row>
    <row r="17" spans="2:13" x14ac:dyDescent="0.25">
      <c r="B17" s="40" t="s">
        <v>14</v>
      </c>
      <c r="C17" s="41"/>
      <c r="D17" s="41"/>
      <c r="E17" s="20"/>
      <c r="F17" s="20"/>
      <c r="G17" s="30">
        <f>G16/1.13</f>
        <v>15.486725663716816</v>
      </c>
      <c r="H17" s="1"/>
      <c r="I17" s="1"/>
      <c r="J17" s="1"/>
      <c r="K17" s="1"/>
      <c r="L17" s="1"/>
      <c r="M17" s="1"/>
    </row>
    <row r="18" spans="2:13" ht="15" customHeight="1" thickBot="1" x14ac:dyDescent="0.3">
      <c r="B18" s="42" t="s">
        <v>3</v>
      </c>
      <c r="C18" s="43"/>
      <c r="D18" s="43"/>
      <c r="E18" s="21"/>
      <c r="F18" s="21"/>
      <c r="G18" s="13">
        <f>G15/G17</f>
        <v>0.17568856061940696</v>
      </c>
      <c r="H18" s="9"/>
      <c r="I18" s="1"/>
      <c r="J18" s="1"/>
      <c r="K18" s="1"/>
      <c r="L18" s="1"/>
      <c r="M18" s="1"/>
    </row>
    <row r="19" spans="2:13" ht="14.4" thickTop="1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3" x14ac:dyDescent="0.25">
      <c r="B20" s="35" t="s">
        <v>4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1" spans="2:13" x14ac:dyDescent="0.25">
      <c r="B21" s="31" t="s">
        <v>5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</sheetData>
  <mergeCells count="7">
    <mergeCell ref="B21:M21"/>
    <mergeCell ref="B2:G2"/>
    <mergeCell ref="B20:M20"/>
    <mergeCell ref="B15:D15"/>
    <mergeCell ref="B16:D16"/>
    <mergeCell ref="B17:D17"/>
    <mergeCell ref="B18:D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CE7B-2DBD-4EA2-BC14-37DEDF0211C0}">
  <dimension ref="B1:M21"/>
  <sheetViews>
    <sheetView workbookViewId="0">
      <selection activeCell="E5" sqref="E5:E14"/>
    </sheetView>
  </sheetViews>
  <sheetFormatPr defaultRowHeight="13.8" x14ac:dyDescent="0.25"/>
  <cols>
    <col min="1" max="1" width="8.88671875" style="11"/>
    <col min="2" max="2" width="20.77734375" style="11" customWidth="1"/>
    <col min="3" max="4" width="12.77734375" style="11" customWidth="1"/>
    <col min="5" max="5" width="6.77734375" style="11" customWidth="1"/>
    <col min="6" max="7" width="12.77734375" style="11" customWidth="1"/>
    <col min="8" max="16384" width="8.88671875" style="11"/>
  </cols>
  <sheetData>
    <row r="1" spans="2:13" ht="14.4" thickBot="1" x14ac:dyDescent="0.3"/>
    <row r="2" spans="2:13" ht="18" thickBot="1" x14ac:dyDescent="0.3">
      <c r="B2" s="32" t="s">
        <v>7</v>
      </c>
      <c r="C2" s="33"/>
      <c r="D2" s="33"/>
      <c r="E2" s="33"/>
      <c r="F2" s="33"/>
      <c r="G2" s="34"/>
      <c r="H2" s="1"/>
      <c r="I2" s="1"/>
      <c r="J2" s="1"/>
      <c r="K2" s="1"/>
      <c r="L2" s="1"/>
      <c r="M2" s="1"/>
    </row>
    <row r="3" spans="2:13" ht="14.4" thickBo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 ht="14.4" thickTop="1" x14ac:dyDescent="0.25">
      <c r="B4" s="2" t="s">
        <v>0</v>
      </c>
      <c r="C4" s="3" t="s">
        <v>1</v>
      </c>
      <c r="D4" s="12" t="s">
        <v>27</v>
      </c>
      <c r="E4" s="12" t="s">
        <v>28</v>
      </c>
      <c r="F4" s="12" t="s">
        <v>29</v>
      </c>
      <c r="G4" s="4" t="s">
        <v>15</v>
      </c>
      <c r="H4" s="1"/>
      <c r="I4" s="1"/>
      <c r="J4" s="1"/>
      <c r="K4" s="1"/>
      <c r="L4" s="1"/>
      <c r="M4" s="1"/>
    </row>
    <row r="5" spans="2:13" x14ac:dyDescent="0.25">
      <c r="B5" s="5" t="s">
        <v>24</v>
      </c>
      <c r="C5" s="14">
        <v>1</v>
      </c>
      <c r="D5" s="23">
        <v>0.7075471698113207</v>
      </c>
      <c r="E5" s="44">
        <v>0.06</v>
      </c>
      <c r="F5" s="29">
        <f>D5+(D5*E5)</f>
        <v>0.75</v>
      </c>
      <c r="G5" s="26">
        <f>D5*C5</f>
        <v>0.7075471698113207</v>
      </c>
      <c r="H5" s="1"/>
      <c r="I5" s="1"/>
      <c r="J5" s="1"/>
      <c r="K5" s="1"/>
      <c r="L5" s="1"/>
      <c r="M5" s="1"/>
    </row>
    <row r="6" spans="2:13" x14ac:dyDescent="0.25">
      <c r="B6" s="5" t="s">
        <v>10</v>
      </c>
      <c r="C6" s="14">
        <v>0.17</v>
      </c>
      <c r="D6" s="23">
        <v>7.528301886792453</v>
      </c>
      <c r="E6" s="44">
        <v>0.06</v>
      </c>
      <c r="F6" s="29">
        <f t="shared" ref="F6:F13" si="0">D6+(D6*E6)</f>
        <v>7.9799999999999995</v>
      </c>
      <c r="G6" s="26">
        <f t="shared" ref="G6:G13" si="1">D6*C6</f>
        <v>1.279811320754717</v>
      </c>
      <c r="H6" s="1"/>
      <c r="I6" s="1"/>
      <c r="J6" s="1"/>
      <c r="K6" s="1"/>
      <c r="L6" s="1"/>
      <c r="M6" s="1"/>
    </row>
    <row r="7" spans="2:13" x14ac:dyDescent="0.25">
      <c r="B7" s="5" t="s">
        <v>26</v>
      </c>
      <c r="C7" s="14">
        <v>0.01</v>
      </c>
      <c r="D7" s="23">
        <v>5.13</v>
      </c>
      <c r="E7" s="44">
        <v>0.23</v>
      </c>
      <c r="F7" s="29">
        <f t="shared" si="0"/>
        <v>6.3099</v>
      </c>
      <c r="G7" s="26">
        <f t="shared" si="1"/>
        <v>0.0513</v>
      </c>
      <c r="H7" s="1"/>
      <c r="I7" s="1"/>
      <c r="J7" s="1"/>
      <c r="K7" s="1"/>
      <c r="L7" s="1"/>
      <c r="M7" s="1"/>
    </row>
    <row r="8" spans="2:13" x14ac:dyDescent="0.25">
      <c r="B8" s="5" t="s">
        <v>21</v>
      </c>
      <c r="C8" s="14">
        <v>0.03</v>
      </c>
      <c r="D8" s="23">
        <v>4.585</v>
      </c>
      <c r="E8" s="44">
        <v>0.23</v>
      </c>
      <c r="F8" s="29">
        <f t="shared" si="0"/>
        <v>5.63955</v>
      </c>
      <c r="G8" s="26">
        <f t="shared" si="1"/>
        <v>0.13755</v>
      </c>
      <c r="H8" s="1"/>
      <c r="I8" s="1"/>
      <c r="J8" s="1"/>
      <c r="K8" s="1"/>
      <c r="L8" s="1"/>
      <c r="M8" s="1"/>
    </row>
    <row r="9" spans="2:13" x14ac:dyDescent="0.25">
      <c r="B9" s="6" t="s">
        <v>23</v>
      </c>
      <c r="C9" s="15">
        <v>5.0000000000000001E-3</v>
      </c>
      <c r="D9" s="24">
        <v>8.8</v>
      </c>
      <c r="E9" s="45">
        <v>0.06</v>
      </c>
      <c r="F9" s="29">
        <f t="shared" si="0"/>
        <v>9.328000000000001</v>
      </c>
      <c r="G9" s="26">
        <f t="shared" si="1"/>
        <v>0.044000000000000004</v>
      </c>
      <c r="H9" s="1"/>
      <c r="I9" s="1"/>
      <c r="J9" s="1"/>
      <c r="K9" s="1"/>
      <c r="L9" s="1"/>
      <c r="M9" s="1"/>
    </row>
    <row r="10" spans="2:13" x14ac:dyDescent="0.25">
      <c r="B10" s="7" t="s">
        <v>11</v>
      </c>
      <c r="C10" s="15">
        <v>0.01</v>
      </c>
      <c r="D10" s="24">
        <v>5.06</v>
      </c>
      <c r="E10" s="45">
        <v>0.23</v>
      </c>
      <c r="F10" s="29">
        <f t="shared" si="0"/>
        <v>6.2238</v>
      </c>
      <c r="G10" s="26">
        <f t="shared" si="1"/>
        <v>0.0506</v>
      </c>
      <c r="H10" s="1"/>
      <c r="I10" s="1"/>
      <c r="J10" s="1"/>
      <c r="K10" s="1"/>
      <c r="L10" s="1"/>
      <c r="M10" s="1"/>
    </row>
    <row r="11" spans="2:13" x14ac:dyDescent="0.25">
      <c r="B11" s="7" t="s">
        <v>12</v>
      </c>
      <c r="C11" s="15">
        <v>0.01</v>
      </c>
      <c r="D11" s="24">
        <v>2</v>
      </c>
      <c r="E11" s="45">
        <v>0.23</v>
      </c>
      <c r="F11" s="29">
        <f t="shared" si="0"/>
        <v>2.46</v>
      </c>
      <c r="G11" s="26">
        <f t="shared" si="1"/>
        <v>0.02</v>
      </c>
      <c r="H11" s="1"/>
      <c r="I11" s="1"/>
      <c r="J11" s="1"/>
      <c r="K11" s="1"/>
      <c r="L11" s="1"/>
      <c r="M11" s="1"/>
    </row>
    <row r="12" spans="2:13" x14ac:dyDescent="0.25">
      <c r="B12" s="6" t="s">
        <v>22</v>
      </c>
      <c r="C12" s="16">
        <v>1</v>
      </c>
      <c r="D12" s="28">
        <v>0.5528</v>
      </c>
      <c r="E12" s="47"/>
      <c r="F12" s="29">
        <f t="shared" si="0"/>
        <v>0.5528</v>
      </c>
      <c r="G12" s="26">
        <f t="shared" si="1"/>
        <v>0.5528</v>
      </c>
      <c r="H12" s="1"/>
      <c r="I12" s="1"/>
      <c r="J12" s="1"/>
      <c r="K12" s="1"/>
      <c r="L12" s="1"/>
      <c r="M12" s="1"/>
    </row>
    <row r="13" spans="2:13" x14ac:dyDescent="0.25">
      <c r="B13" s="6" t="s">
        <v>17</v>
      </c>
      <c r="C13" s="16">
        <v>0.01</v>
      </c>
      <c r="D13" s="28">
        <v>0.315</v>
      </c>
      <c r="E13" s="47">
        <v>0.06</v>
      </c>
      <c r="F13" s="29">
        <f t="shared" si="0"/>
        <v>0.3339</v>
      </c>
      <c r="G13" s="26">
        <f t="shared" si="1"/>
        <v>0.00315</v>
      </c>
      <c r="H13" s="1"/>
      <c r="I13" s="1"/>
      <c r="J13" s="1"/>
      <c r="K13" s="1"/>
      <c r="L13" s="1"/>
      <c r="M13" s="1"/>
    </row>
    <row r="14" spans="2:13" ht="14.4" thickBot="1" x14ac:dyDescent="0.3">
      <c r="B14" s="10" t="s">
        <v>13</v>
      </c>
      <c r="C14" s="17" t="s">
        <v>16</v>
      </c>
      <c r="D14" s="25" t="s">
        <v>16</v>
      </c>
      <c r="E14" s="46" t="s">
        <v>16</v>
      </c>
      <c r="F14" s="29" t="s">
        <v>16</v>
      </c>
      <c r="G14" s="26" t="s">
        <v>16</v>
      </c>
      <c r="H14" s="1"/>
      <c r="I14" s="1"/>
      <c r="J14" s="1"/>
      <c r="K14" s="1"/>
      <c r="L14" s="1"/>
      <c r="M14" s="1"/>
    </row>
    <row r="15" spans="2:13" ht="14.4" thickTop="1" x14ac:dyDescent="0.25">
      <c r="B15" s="36" t="s">
        <v>9</v>
      </c>
      <c r="C15" s="37"/>
      <c r="D15" s="37"/>
      <c r="E15" s="18"/>
      <c r="F15" s="18"/>
      <c r="G15" s="27">
        <f>SUM(G5:G14)</f>
        <v>2.8467584905660384</v>
      </c>
      <c r="H15" s="1"/>
      <c r="I15" s="1"/>
      <c r="J15" s="1"/>
      <c r="K15" s="1"/>
      <c r="L15" s="1"/>
      <c r="M15" s="1"/>
    </row>
    <row r="16" spans="2:13" x14ac:dyDescent="0.25">
      <c r="B16" s="38" t="s">
        <v>2</v>
      </c>
      <c r="C16" s="39"/>
      <c r="D16" s="39"/>
      <c r="E16" s="19"/>
      <c r="F16" s="19"/>
      <c r="G16" s="30">
        <v>16.5</v>
      </c>
      <c r="H16" s="1"/>
      <c r="I16" s="1"/>
      <c r="J16" s="1"/>
      <c r="K16" s="1"/>
      <c r="L16" s="1"/>
      <c r="M16" s="1"/>
    </row>
    <row r="17" spans="2:13" x14ac:dyDescent="0.25">
      <c r="B17" s="40" t="s">
        <v>14</v>
      </c>
      <c r="C17" s="41"/>
      <c r="D17" s="41"/>
      <c r="E17" s="20"/>
      <c r="F17" s="20"/>
      <c r="G17" s="30">
        <f>G16/1.13</f>
        <v>14.601769911504427</v>
      </c>
      <c r="H17" s="1"/>
      <c r="I17" s="1"/>
      <c r="J17" s="1"/>
      <c r="K17" s="1"/>
      <c r="L17" s="1"/>
      <c r="M17" s="1"/>
    </row>
    <row r="18" spans="2:13" ht="15" customHeight="1" thickBot="1" x14ac:dyDescent="0.3">
      <c r="B18" s="42" t="s">
        <v>3</v>
      </c>
      <c r="C18" s="43"/>
      <c r="D18" s="43"/>
      <c r="E18" s="21"/>
      <c r="F18" s="21"/>
      <c r="G18" s="13">
        <f>G15/G17</f>
        <v>0.19495982389937108</v>
      </c>
      <c r="H18" s="9"/>
      <c r="I18" s="1"/>
      <c r="J18" s="1"/>
      <c r="K18" s="1"/>
      <c r="L18" s="1"/>
      <c r="M18" s="1"/>
    </row>
    <row r="19" spans="2:13" ht="14.4" thickTop="1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3" x14ac:dyDescent="0.25">
      <c r="B20" s="35" t="s">
        <v>4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</row>
    <row r="21" spans="2:13" x14ac:dyDescent="0.25">
      <c r="B21" s="31" t="s">
        <v>5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</sheetData>
  <mergeCells count="7">
    <mergeCell ref="B21:M21"/>
    <mergeCell ref="B2:G2"/>
    <mergeCell ref="B20:M20"/>
    <mergeCell ref="B15:D15"/>
    <mergeCell ref="B16:D16"/>
    <mergeCell ref="B17:D17"/>
    <mergeCell ref="B18:D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91947-BD3F-4BC8-A68D-F81A325910CF}">
  <dimension ref="B1:M19"/>
  <sheetViews>
    <sheetView workbookViewId="0">
      <selection activeCell="E5" sqref="E5:E12"/>
    </sheetView>
  </sheetViews>
  <sheetFormatPr defaultRowHeight="13.8" x14ac:dyDescent="0.25"/>
  <cols>
    <col min="1" max="1" width="8.88671875" style="11"/>
    <col min="2" max="2" width="20.77734375" style="11" customWidth="1"/>
    <col min="3" max="4" width="12.77734375" style="11" customWidth="1"/>
    <col min="5" max="5" width="6.77734375" style="11" customWidth="1"/>
    <col min="6" max="7" width="12.77734375" style="11" customWidth="1"/>
    <col min="8" max="16384" width="8.88671875" style="11"/>
  </cols>
  <sheetData>
    <row r="1" spans="2:13" ht="14.4" thickBot="1" x14ac:dyDescent="0.3"/>
    <row r="2" spans="2:13" ht="18" thickBot="1" x14ac:dyDescent="0.3">
      <c r="B2" s="32" t="s">
        <v>8</v>
      </c>
      <c r="C2" s="33"/>
      <c r="D2" s="33"/>
      <c r="E2" s="33"/>
      <c r="F2" s="33"/>
      <c r="G2" s="34"/>
      <c r="H2" s="1"/>
      <c r="I2" s="1"/>
      <c r="J2" s="1"/>
      <c r="K2" s="1"/>
      <c r="L2" s="1"/>
      <c r="M2" s="1"/>
    </row>
    <row r="3" spans="2:13" ht="14.4" thickBo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 ht="14.4" thickTop="1" x14ac:dyDescent="0.25">
      <c r="B4" s="2" t="s">
        <v>0</v>
      </c>
      <c r="C4" s="3" t="s">
        <v>1</v>
      </c>
      <c r="D4" s="12" t="s">
        <v>27</v>
      </c>
      <c r="E4" s="12" t="s">
        <v>28</v>
      </c>
      <c r="F4" s="12" t="s">
        <v>29</v>
      </c>
      <c r="G4" s="4" t="s">
        <v>15</v>
      </c>
      <c r="H4" s="1"/>
      <c r="I4" s="1"/>
      <c r="J4" s="1"/>
      <c r="K4" s="1"/>
      <c r="L4" s="1"/>
      <c r="M4" s="1"/>
    </row>
    <row r="5" spans="2:13" x14ac:dyDescent="0.25">
      <c r="B5" s="5" t="s">
        <v>24</v>
      </c>
      <c r="C5" s="14">
        <v>1</v>
      </c>
      <c r="D5" s="23">
        <v>0.7075471698113207</v>
      </c>
      <c r="E5" s="44">
        <v>0.06</v>
      </c>
      <c r="F5" s="22">
        <f>D5+(D5*E5)</f>
        <v>0.75</v>
      </c>
      <c r="G5" s="26">
        <f>D5*C5</f>
        <v>0.7075471698113207</v>
      </c>
      <c r="H5" s="1"/>
      <c r="I5" s="1"/>
      <c r="J5" s="1"/>
      <c r="K5" s="1"/>
      <c r="L5" s="1"/>
      <c r="M5" s="1"/>
    </row>
    <row r="6" spans="2:13" x14ac:dyDescent="0.25">
      <c r="B6" s="5" t="s">
        <v>10</v>
      </c>
      <c r="C6" s="14">
        <v>0.17</v>
      </c>
      <c r="D6" s="23">
        <v>7.528301886792453</v>
      </c>
      <c r="E6" s="44">
        <v>0.06</v>
      </c>
      <c r="F6" s="22">
        <f t="shared" ref="F6:F12" si="0">D6+(D6*E6)</f>
        <v>7.9799999999999995</v>
      </c>
      <c r="G6" s="26">
        <f t="shared" ref="G6:G12" si="1">D6*C6</f>
        <v>1.279811320754717</v>
      </c>
      <c r="H6" s="1"/>
      <c r="I6" s="1"/>
      <c r="J6" s="1"/>
      <c r="K6" s="1"/>
      <c r="L6" s="1"/>
      <c r="M6" s="1"/>
    </row>
    <row r="7" spans="2:13" x14ac:dyDescent="0.25">
      <c r="B7" s="5" t="s">
        <v>25</v>
      </c>
      <c r="C7" s="14">
        <v>0.01</v>
      </c>
      <c r="D7" s="23">
        <v>5.13</v>
      </c>
      <c r="E7" s="44">
        <v>0.23</v>
      </c>
      <c r="F7" s="22">
        <f t="shared" si="0"/>
        <v>6.3099</v>
      </c>
      <c r="G7" s="26">
        <f t="shared" si="1"/>
        <v>0.0513</v>
      </c>
      <c r="H7" s="1"/>
      <c r="I7" s="1"/>
      <c r="J7" s="1"/>
      <c r="K7" s="1"/>
      <c r="L7" s="1"/>
      <c r="M7" s="1"/>
    </row>
    <row r="8" spans="2:13" x14ac:dyDescent="0.25">
      <c r="B8" s="5" t="s">
        <v>21</v>
      </c>
      <c r="C8" s="14">
        <v>0.03</v>
      </c>
      <c r="D8" s="23">
        <v>4.585</v>
      </c>
      <c r="E8" s="44">
        <v>0.23</v>
      </c>
      <c r="F8" s="22">
        <f t="shared" si="0"/>
        <v>5.63955</v>
      </c>
      <c r="G8" s="26">
        <f t="shared" si="1"/>
        <v>0.13755</v>
      </c>
      <c r="H8" s="1"/>
      <c r="I8" s="1"/>
      <c r="J8" s="1"/>
      <c r="K8" s="1"/>
      <c r="L8" s="1"/>
      <c r="M8" s="1"/>
    </row>
    <row r="9" spans="2:13" x14ac:dyDescent="0.25">
      <c r="B9" s="5" t="s">
        <v>23</v>
      </c>
      <c r="C9" s="15">
        <v>5.0000000000000001E-3</v>
      </c>
      <c r="D9" s="24">
        <v>8.8</v>
      </c>
      <c r="E9" s="45">
        <v>0.06</v>
      </c>
      <c r="F9" s="22">
        <f t="shared" si="0"/>
        <v>9.328000000000001</v>
      </c>
      <c r="G9" s="26">
        <f t="shared" si="1"/>
        <v>0.044000000000000004</v>
      </c>
      <c r="H9" s="1"/>
      <c r="I9" s="1"/>
      <c r="J9" s="1"/>
      <c r="K9" s="1"/>
      <c r="L9" s="1"/>
      <c r="M9" s="1"/>
    </row>
    <row r="10" spans="2:13" x14ac:dyDescent="0.25">
      <c r="B10" s="6" t="s">
        <v>22</v>
      </c>
      <c r="C10" s="15">
        <v>1</v>
      </c>
      <c r="D10" s="24">
        <v>0.5528</v>
      </c>
      <c r="E10" s="45"/>
      <c r="F10" s="22">
        <f t="shared" si="0"/>
        <v>0.5528</v>
      </c>
      <c r="G10" s="26">
        <f t="shared" si="1"/>
        <v>0.5528</v>
      </c>
      <c r="H10" s="1"/>
      <c r="I10" s="1"/>
      <c r="J10" s="1"/>
      <c r="K10" s="1"/>
      <c r="L10" s="1"/>
      <c r="M10" s="1"/>
    </row>
    <row r="11" spans="2:13" x14ac:dyDescent="0.25">
      <c r="B11" s="7" t="s">
        <v>13</v>
      </c>
      <c r="C11" s="15" t="s">
        <v>16</v>
      </c>
      <c r="D11" s="24" t="s">
        <v>16</v>
      </c>
      <c r="E11" s="45" t="s">
        <v>16</v>
      </c>
      <c r="F11" s="22" t="s">
        <v>16</v>
      </c>
      <c r="G11" s="26" t="s">
        <v>16</v>
      </c>
      <c r="H11" s="1"/>
      <c r="I11" s="1"/>
      <c r="J11" s="1"/>
      <c r="K11" s="1"/>
      <c r="L11" s="1"/>
      <c r="M11" s="1"/>
    </row>
    <row r="12" spans="2:13" ht="14.4" thickBot="1" x14ac:dyDescent="0.3">
      <c r="B12" s="8" t="s">
        <v>17</v>
      </c>
      <c r="C12" s="17">
        <v>0.01</v>
      </c>
      <c r="D12" s="25">
        <v>0.315</v>
      </c>
      <c r="E12" s="46">
        <v>0.06</v>
      </c>
      <c r="F12" s="22">
        <f t="shared" si="0"/>
        <v>0.3339</v>
      </c>
      <c r="G12" s="26">
        <f t="shared" si="1"/>
        <v>0.00315</v>
      </c>
      <c r="H12" s="1"/>
      <c r="I12" s="1"/>
      <c r="J12" s="1"/>
      <c r="K12" s="1"/>
      <c r="L12" s="1"/>
      <c r="M12" s="1"/>
    </row>
    <row r="13" spans="2:13" ht="15" customHeight="1" thickTop="1" x14ac:dyDescent="0.25">
      <c r="B13" s="36" t="s">
        <v>9</v>
      </c>
      <c r="C13" s="37"/>
      <c r="D13" s="37"/>
      <c r="E13" s="37"/>
      <c r="F13" s="37"/>
      <c r="G13" s="27">
        <f>SUM(G5:G12)</f>
        <v>2.776158490566038</v>
      </c>
      <c r="H13" s="1"/>
      <c r="I13" s="1"/>
      <c r="J13" s="1"/>
      <c r="K13" s="1"/>
      <c r="L13" s="1"/>
      <c r="M13" s="1"/>
    </row>
    <row r="14" spans="2:13" x14ac:dyDescent="0.25">
      <c r="B14" s="38" t="s">
        <v>2</v>
      </c>
      <c r="C14" s="39"/>
      <c r="D14" s="39"/>
      <c r="E14" s="39"/>
      <c r="F14" s="39"/>
      <c r="G14" s="30">
        <v>16.5</v>
      </c>
      <c r="H14" s="1"/>
      <c r="I14" s="1"/>
      <c r="J14" s="1"/>
      <c r="K14" s="1"/>
      <c r="L14" s="1"/>
      <c r="M14" s="1"/>
    </row>
    <row r="15" spans="2:13" x14ac:dyDescent="0.25">
      <c r="B15" s="40" t="s">
        <v>14</v>
      </c>
      <c r="C15" s="41"/>
      <c r="D15" s="41"/>
      <c r="E15" s="41"/>
      <c r="F15" s="41"/>
      <c r="G15" s="30">
        <f>G14/1.13</f>
        <v>14.601769911504427</v>
      </c>
      <c r="H15" s="1"/>
      <c r="I15" s="1"/>
      <c r="J15" s="1"/>
      <c r="K15" s="1"/>
      <c r="L15" s="1"/>
      <c r="M15" s="1"/>
    </row>
    <row r="16" spans="2:13" ht="15" customHeight="1" thickBot="1" x14ac:dyDescent="0.3">
      <c r="B16" s="42" t="s">
        <v>3</v>
      </c>
      <c r="C16" s="43"/>
      <c r="D16" s="43"/>
      <c r="E16" s="43"/>
      <c r="F16" s="43"/>
      <c r="G16" s="13">
        <f>G13/G15</f>
        <v>0.19012479359634077</v>
      </c>
      <c r="H16" s="9"/>
      <c r="I16" s="1"/>
      <c r="J16" s="1"/>
      <c r="K16" s="1"/>
      <c r="L16" s="1"/>
      <c r="M16" s="1"/>
    </row>
    <row r="17" spans="2:13" ht="14.4" thickTop="1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2:13" x14ac:dyDescent="0.25">
      <c r="B18" s="35" t="s">
        <v>4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</row>
    <row r="19" spans="2:13" x14ac:dyDescent="0.25">
      <c r="B19" s="31" t="s">
        <v>5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</sheetData>
  <mergeCells count="7">
    <mergeCell ref="B19:M19"/>
    <mergeCell ref="B2:G2"/>
    <mergeCell ref="B18:M18"/>
    <mergeCell ref="B13:F13"/>
    <mergeCell ref="B14:F14"/>
    <mergeCell ref="B15:F15"/>
    <mergeCell ref="B16:F1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Ribbaí</vt:lpstr>
      <vt:lpstr>BBK</vt:lpstr>
      <vt:lpstr>Queijo e Bacon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Ribas</dc:creator>
  <cp:lastModifiedBy>Nuno Ribas</cp:lastModifiedBy>
  <dcterms:created xsi:type="dcterms:W3CDTF">2026-06-15T20:14:49Z</dcterms:created>
  <dcterms:modified xsi:type="dcterms:W3CDTF">2026-07-23T14:42:28Z</dcterms:modified>
</cp:coreProperties>
</file>