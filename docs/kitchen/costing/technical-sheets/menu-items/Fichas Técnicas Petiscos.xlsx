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5a07027276a17f/Documentos/Ribbaí/RIBB.AI/docs/kitchen/costing/technical-sheets/menu-items/"/>
    </mc:Choice>
  </mc:AlternateContent>
  <xr:revisionPtr revIDLastSave="836" documentId="8_{51DBDB5B-41FD-4FFE-8986-5536973CCD7E}" xr6:coauthVersionLast="47" xr6:coauthVersionMax="47" xr10:uidLastSave="{7803DB43-FC21-496E-90F7-2097EA80DE34}"/>
  <bookViews>
    <workbookView xWindow="-108" yWindow="-108" windowWidth="23256" windowHeight="12456" activeTab="2" xr2:uid="{A707B8A9-FA79-4374-9FF3-8C37B5B19458}"/>
  </bookViews>
  <sheets>
    <sheet name="Batatas (dose)" sheetId="12" r:id="rId1"/>
    <sheet name="Camarão ao Alho" sheetId="2" r:id="rId2"/>
    <sheet name="Ceviche" sheetId="11" r:id="rId3"/>
    <sheet name="Choco Frito" sheetId="3" r:id="rId4"/>
    <sheet name="Ovos Rotos" sheetId="4" r:id="rId5"/>
    <sheet name="Croquete" sheetId="5" r:id="rId6"/>
    <sheet name="Pica-Pau" sheetId="6" r:id="rId7"/>
    <sheet name="Prego de Novilho" sheetId="7" r:id="rId8"/>
    <sheet name="Prego de Atum" sheetId="8" r:id="rId9"/>
    <sheet name="Nachos" sheetId="9" r:id="rId10"/>
    <sheet name="Sopa" sheetId="10" r:id="rId1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<sst xmlns="http://schemas.openxmlformats.org/spreadsheetml/2006/main" count="218" uniqueCount="67">
  <si>
    <t>Ingredientes</t>
  </si>
  <si>
    <t>Quantidades</t>
  </si>
  <si>
    <t>Preço Venda c/Iva</t>
  </si>
  <si>
    <t>% food cost</t>
  </si>
  <si>
    <t xml:space="preserve">Preparação: </t>
  </si>
  <si>
    <r>
      <t>Serviço:</t>
    </r>
    <r>
      <rPr>
        <sz val="11"/>
        <color theme="1"/>
        <rFont val="Arial"/>
        <family val="2"/>
      </rPr>
      <t xml:space="preserve"> </t>
    </r>
  </si>
  <si>
    <t>CAMARÃO AO ALHO COM PÃO TORRADO</t>
  </si>
  <si>
    <t>CHOCO FRITO COM MOLHO TÁRTARO</t>
  </si>
  <si>
    <t>OVOS ROTOS</t>
  </si>
  <si>
    <t>CROQUETES DE NOVILHO (1UN)</t>
  </si>
  <si>
    <t>PICA-PAU DO LOMBO</t>
  </si>
  <si>
    <t>PREGO DE NOVILHO NO PÃO</t>
  </si>
  <si>
    <t>PREGO ATUM EM BOLO DO CACO</t>
  </si>
  <si>
    <t>NACHOS COM GUACAMOLE</t>
  </si>
  <si>
    <t>SOPA</t>
  </si>
  <si>
    <t>Alho</t>
  </si>
  <si>
    <t>Azeite</t>
  </si>
  <si>
    <t>Preço Venda s/Iva</t>
  </si>
  <si>
    <t>Custo Mercadoria s/Iva</t>
  </si>
  <si>
    <t>Óleo AR</t>
  </si>
  <si>
    <t>Limão</t>
  </si>
  <si>
    <t>Nachos</t>
  </si>
  <si>
    <t>Guacamole</t>
  </si>
  <si>
    <t>Pico de Gallo</t>
  </si>
  <si>
    <t>Jalapeños</t>
  </si>
  <si>
    <t>CEVICHE DE ATUM E SALMÃO</t>
  </si>
  <si>
    <t>Malagueta</t>
  </si>
  <si>
    <t>Gengibre</t>
  </si>
  <si>
    <t>Lima</t>
  </si>
  <si>
    <t>BATATAS FRITAS SCOOP</t>
  </si>
  <si>
    <t>Mostarda sementes</t>
  </si>
  <si>
    <t>-</t>
  </si>
  <si>
    <t>Manga</t>
  </si>
  <si>
    <t>Cebola roxa</t>
  </si>
  <si>
    <t>Sal fino</t>
  </si>
  <si>
    <t>Presunto</t>
  </si>
  <si>
    <t>Salsa</t>
  </si>
  <si>
    <t>Manteiga</t>
  </si>
  <si>
    <t>Sal grosso</t>
  </si>
  <si>
    <t>Pimenta preta</t>
  </si>
  <si>
    <t>Pão Mafra</t>
  </si>
  <si>
    <t>Molho DG</t>
  </si>
  <si>
    <t>Bolo do caco</t>
  </si>
  <si>
    <t>Abóbora</t>
  </si>
  <si>
    <t>Batata branca</t>
  </si>
  <si>
    <t>Cebola branca</t>
  </si>
  <si>
    <t>Cenoura</t>
  </si>
  <si>
    <t>Açafrão</t>
  </si>
  <si>
    <t>Batatas (dose)</t>
  </si>
  <si>
    <t>Bife novilho</t>
  </si>
  <si>
    <t>Pão bolinha</t>
  </si>
  <si>
    <t>Lombo novilho</t>
  </si>
  <si>
    <t>Atum fresco</t>
  </si>
  <si>
    <t>Croquete cong</t>
  </si>
  <si>
    <t>Batatas palito cong</t>
  </si>
  <si>
    <t>Farinha s/ fermento</t>
  </si>
  <si>
    <t>Salmão fresco</t>
  </si>
  <si>
    <t>Camarão 30/40 cong</t>
  </si>
  <si>
    <t>Ovo</t>
  </si>
  <si>
    <t>Queijo cheddar</t>
  </si>
  <si>
    <t>Preço s/ IVA</t>
  </si>
  <si>
    <t>IVA</t>
  </si>
  <si>
    <t>Preço c/ IVA</t>
  </si>
  <si>
    <t>Custo</t>
  </si>
  <si>
    <t>Molho tártaro</t>
  </si>
  <si>
    <t>Choco frito marinado</t>
  </si>
  <si>
    <t>Molho Ponzu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</si>
</sst>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#,##0.00\ &quot;€&quot;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/>
  </cellStyleXfs>
  <cellXfs count="53">
    <xf numFmtId="0" fontId="0" fillId="0" borderId="0" xfId="0"/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/>
    </xf>
    <xf numFmtId="0" fontId="4" fillId="2" borderId="5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0" xfId="0" applyFont="1"/>
    <xf numFmtId="0" fontId="5" fillId="3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0" borderId="11" xfId="0" applyFont="1" applyBorder="1" applyAlignment="1">
      <alignment horizontal="right"/>
    </xf>
    <xf numFmtId="0" fontId="4" fillId="0" borderId="1" xfId="0" applyFont="1" applyBorder="1" applyAlignment="1">
      <alignment horizontal="right" vertical="center"/>
    </xf>
    <xf numFmtId="10" fontId="4" fillId="0" borderId="0" xfId="1" applyNumberFormat="1" applyFont="1" applyBorder="1" applyAlignment="1">
      <alignment vertical="center"/>
    </xf>
    <xf numFmtId="9" fontId="5" fillId="3" borderId="20" xfId="1" applyFont="1" applyFill="1" applyBorder="1" applyAlignment="1">
      <alignment vertical="center"/>
    </xf>
    <xf numFmtId="0" fontId="4" fillId="2" borderId="23" xfId="0" applyFont="1" applyFill="1" applyBorder="1" applyAlignment="1">
      <alignment horizontal="right" vertical="center"/>
    </xf>
    <xf numFmtId="164" fontId="5" fillId="2" borderId="6" xfId="0" applyNumberFormat="1" applyFont="1" applyFill="1" applyBorder="1" applyAlignment="1">
      <alignment horizontal="right" vertical="center"/>
    </xf>
    <xf numFmtId="164" fontId="5" fillId="0" borderId="18" xfId="2" applyNumberFormat="1" applyFont="1" applyBorder="1" applyAlignment="1">
      <alignment vertical="center"/>
    </xf>
    <xf numFmtId="164" fontId="5" fillId="0" borderId="19" xfId="2" applyNumberFormat="1" applyFont="1" applyBorder="1" applyAlignment="1">
      <alignment vertical="center"/>
    </xf>
    <xf numFmtId="164" fontId="5" fillId="0" borderId="18" xfId="2" applyNumberFormat="1" applyFont="1" applyBorder="1" applyAlignment="1">
      <alignment horizontal="right" vertical="center"/>
    </xf>
    <xf numFmtId="164" fontId="5" fillId="0" borderId="19" xfId="2" applyNumberFormat="1" applyFont="1" applyBorder="1" applyAlignment="1">
      <alignment horizontal="right" vertical="center"/>
    </xf>
    <xf numFmtId="164" fontId="4" fillId="2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64" fontId="4" fillId="2" borderId="11" xfId="0" applyNumberFormat="1" applyFont="1" applyFill="1" applyBorder="1" applyAlignment="1">
      <alignment horizontal="right" vertical="center"/>
    </xf>
    <xf numFmtId="164" fontId="4" fillId="0" borderId="11" xfId="0" applyNumberFormat="1" applyFont="1" applyBorder="1" applyAlignment="1">
      <alignment horizontal="right"/>
    </xf>
    <xf numFmtId="164" fontId="4" fillId="2" borderId="23" xfId="0" applyNumberFormat="1" applyFont="1" applyFill="1" applyBorder="1" applyAlignment="1">
      <alignment horizontal="right" vertical="center"/>
    </xf>
    <xf numFmtId="164" fontId="5" fillId="0" borderId="21" xfId="2" applyNumberFormat="1" applyFont="1" applyBorder="1" applyAlignment="1">
      <alignment horizontal="right" vertical="center"/>
    </xf>
    <xf numFmtId="164" fontId="5" fillId="0" borderId="22" xfId="2" applyNumberFormat="1" applyFont="1" applyBorder="1" applyAlignment="1">
      <alignment horizontal="right" vertical="center"/>
    </xf>
    <xf numFmtId="9" fontId="4" fillId="2" borderId="23" xfId="1" applyFont="1" applyFill="1" applyBorder="1" applyAlignment="1">
      <alignment horizontal="center" vertical="center"/>
    </xf>
    <xf numFmtId="9" fontId="4" fillId="0" borderId="23" xfId="1" applyFont="1" applyBorder="1" applyAlignment="1">
      <alignment horizontal="center" vertical="center"/>
    </xf>
    <xf numFmtId="9" fontId="4" fillId="2" borderId="11" xfId="1" applyFont="1" applyFill="1" applyBorder="1" applyAlignment="1">
      <alignment horizontal="center" vertical="center"/>
    </xf>
    <xf numFmtId="9" fontId="4" fillId="0" borderId="11" xfId="1" applyFont="1" applyBorder="1" applyAlignment="1">
      <alignment horizontal="center"/>
    </xf>
    <xf numFmtId="164" fontId="4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</cellXfs>
  <cellStyles count="4">
    <cellStyle name="Moeda 2" xfId="2" xr:uid="{46B75A4B-8EBD-4D9F-A0FE-881384A99502}"/>
    <cellStyle name="Normal" xfId="0" builtinId="0"/>
    <cellStyle name="Normal 2" xfId="3" xr:uid="{17406876-2586-4C70-9CE9-74231D91E907}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E4689-569B-495C-94D6-A01CADE8950B}">
  <dimension ref="B1:M12"/>
  <sheetViews>
    <sheetView workbookViewId="0">
      <selection activeCell="E5" sqref="E5"/>
    </sheetView>
  </sheetViews>
  <sheetFormatPr defaultRowHeight="13.8" x14ac:dyDescent="0.25"/>
  <cols>
    <col min="1" max="1" width="8.88671875" style="11"/>
    <col min="2" max="2" width="21.77734375" style="11" customWidth="1"/>
    <col min="3" max="4" width="12.77734375" style="11" customWidth="1"/>
    <col min="5" max="5" width="6.77734375" style="11" customWidth="1"/>
    <col min="6" max="7" width="12.77734375" style="11" customWidth="1"/>
    <col min="8" max="16384" width="8.88671875" style="11"/>
  </cols>
  <sheetData>
    <row r="1" spans="2:13" ht="14.4" thickBot="1" x14ac:dyDescent="0.3"/>
    <row r="2" spans="2:13" ht="18" thickBot="1" x14ac:dyDescent="0.3">
      <c r="B2" s="38" t="s">
        <v>29</v>
      </c>
      <c r="C2" s="39"/>
      <c r="D2" s="39"/>
      <c r="E2" s="39"/>
      <c r="F2" s="39"/>
      <c r="G2" s="40"/>
      <c r="H2" s="7"/>
      <c r="I2" s="7"/>
      <c r="J2" s="7"/>
      <c r="K2" s="7"/>
      <c r="L2" s="7"/>
      <c r="M2" s="7"/>
    </row>
    <row r="3" spans="2:13" ht="14.4" thickBot="1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2:13" ht="14.4" thickTop="1" x14ac:dyDescent="0.25">
      <c r="B4" s="6" t="s">
        <v>0</v>
      </c>
      <c r="C4" s="5" t="s">
        <v>1</v>
      </c>
      <c r="D4" s="12" t="s">
        <v>60</v>
      </c>
      <c r="E4" s="12" t="s">
        <v>61</v>
      </c>
      <c r="F4" s="12" t="s">
        <v>62</v>
      </c>
      <c r="G4" s="4" t="s">
        <v>63</v>
      </c>
      <c r="H4" s="7"/>
      <c r="I4" s="7"/>
      <c r="J4" s="7"/>
      <c r="K4" s="7"/>
      <c r="L4" s="7"/>
      <c r="M4" s="7"/>
    </row>
    <row r="5" spans="2:13" ht="14.4" thickBot="1" x14ac:dyDescent="0.3">
      <c r="B5" s="3" t="s">
        <v>48</v>
      </c>
      <c r="C5" s="14">
        <v>1</v>
      </c>
      <c r="D5" s="14">
        <v>0.55279999999999996</v>
      </c>
      <c r="E5" s="32"/>
      <c r="F5" s="19">
        <f>D5+(D5*E5)</f>
        <v>0.55279999999999996</v>
      </c>
      <c r="G5" s="20">
        <f>D5*C5</f>
        <v>0.55279999999999996</v>
      </c>
      <c r="H5" s="7"/>
      <c r="I5" s="7"/>
      <c r="J5" s="7"/>
      <c r="K5" s="7"/>
      <c r="L5" s="7"/>
      <c r="M5" s="7"/>
    </row>
    <row r="6" spans="2:13" ht="14.4" thickTop="1" x14ac:dyDescent="0.25">
      <c r="B6" s="42" t="s">
        <v>18</v>
      </c>
      <c r="C6" s="43"/>
      <c r="D6" s="43"/>
      <c r="E6" s="43"/>
      <c r="F6" s="43"/>
      <c r="G6" s="21">
        <f>SUM(G5:G5)</f>
        <v>0.55279999999999996</v>
      </c>
      <c r="H6" s="7"/>
      <c r="I6" s="7"/>
      <c r="J6" s="7"/>
      <c r="K6" s="7"/>
      <c r="L6" s="7"/>
      <c r="M6" s="7"/>
    </row>
    <row r="7" spans="2:13" x14ac:dyDescent="0.25">
      <c r="B7" s="44" t="s">
        <v>2</v>
      </c>
      <c r="C7" s="45"/>
      <c r="D7" s="45"/>
      <c r="E7" s="45"/>
      <c r="F7" s="45"/>
      <c r="G7" s="22">
        <v>3.5</v>
      </c>
      <c r="H7" s="7"/>
      <c r="I7" s="7"/>
      <c r="J7" s="7"/>
      <c r="K7" s="7"/>
      <c r="L7" s="7"/>
      <c r="M7" s="7"/>
    </row>
    <row r="8" spans="2:13" x14ac:dyDescent="0.25">
      <c r="B8" s="46" t="s">
        <v>17</v>
      </c>
      <c r="C8" s="47"/>
      <c r="D8" s="47"/>
      <c r="E8" s="47"/>
      <c r="F8" s="47"/>
      <c r="G8" s="22">
        <f>G7/1.13</f>
        <v>3.0973451327433632</v>
      </c>
      <c r="H8" s="7"/>
      <c r="I8" s="7"/>
      <c r="J8" s="7"/>
      <c r="K8" s="7"/>
      <c r="L8" s="7"/>
      <c r="M8" s="7"/>
    </row>
    <row r="9" spans="2:13" ht="15" customHeight="1" thickBot="1" x14ac:dyDescent="0.3">
      <c r="B9" s="49" t="s">
        <v>3</v>
      </c>
      <c r="C9" s="50"/>
      <c r="D9" s="50"/>
      <c r="E9" s="50"/>
      <c r="F9" s="50"/>
      <c r="G9" s="18">
        <f>G6/G8</f>
        <v>0.17847542857142853</v>
      </c>
      <c r="H9" s="8"/>
      <c r="I9" s="7"/>
      <c r="J9" s="7"/>
      <c r="K9" s="7"/>
      <c r="L9" s="7"/>
      <c r="M9" s="7"/>
    </row>
    <row r="10" spans="2:13" ht="14.4" thickTop="1" x14ac:dyDescent="0.2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2:13" x14ac:dyDescent="0.25">
      <c r="B11" s="41" t="s">
        <v>4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</row>
    <row r="12" spans="2:13" x14ac:dyDescent="0.25">
      <c r="B12" s="37" t="s">
        <v>5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</row>
  </sheetData>
  <mergeCells count="7">
    <mergeCell ref="B11:M11"/>
    <mergeCell ref="B12:M12"/>
    <mergeCell ref="B2:G2"/>
    <mergeCell ref="B6:F6"/>
    <mergeCell ref="B7:F7"/>
    <mergeCell ref="B8:F8"/>
    <mergeCell ref="B9:F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664BF-E724-4301-AFDC-DEFF7223AAC3}">
  <dimension ref="B1:M17"/>
  <sheetViews>
    <sheetView workbookViewId="0">
      <selection activeCell="E5" sqref="E5:E10"/>
    </sheetView>
  </sheetViews>
  <sheetFormatPr defaultRowHeight="13.8" x14ac:dyDescent="0.25"/>
  <cols>
    <col min="1" max="1" width="8.88671875" style="11"/>
    <col min="2" max="2" width="21.77734375" style="11" customWidth="1"/>
    <col min="3" max="4" width="12.77734375" style="11" customWidth="1"/>
    <col min="5" max="5" width="6.77734375" style="11" customWidth="1"/>
    <col min="6" max="7" width="12.77734375" style="11" customWidth="1"/>
    <col min="8" max="16384" width="8.88671875" style="11"/>
  </cols>
  <sheetData>
    <row r="1" spans="2:13" ht="14.4" thickBot="1" x14ac:dyDescent="0.3"/>
    <row r="2" spans="2:13" ht="18" thickBot="1" x14ac:dyDescent="0.3">
      <c r="B2" s="38" t="s">
        <v>6</v>
      </c>
      <c r="C2" s="39"/>
      <c r="D2" s="39"/>
      <c r="E2" s="39"/>
      <c r="F2" s="39"/>
      <c r="G2" s="40"/>
      <c r="H2" s="7"/>
      <c r="I2" s="7"/>
      <c r="J2" s="7"/>
      <c r="K2" s="7"/>
      <c r="L2" s="7"/>
      <c r="M2" s="7"/>
    </row>
    <row r="3" spans="2:13" ht="14.4" thickBot="1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2:13" ht="14.4" thickTop="1" x14ac:dyDescent="0.25">
      <c r="B4" s="6" t="s">
        <v>0</v>
      </c>
      <c r="C4" s="5" t="s">
        <v>1</v>
      </c>
      <c r="D4" s="12" t="s">
        <v>60</v>
      </c>
      <c r="E4" s="12" t="s">
        <v>61</v>
      </c>
      <c r="F4" s="12" t="s">
        <v>62</v>
      </c>
      <c r="G4" s="4" t="s">
        <v>63</v>
      </c>
      <c r="H4" s="7"/>
      <c r="I4" s="7"/>
      <c r="J4" s="7"/>
      <c r="K4" s="7"/>
      <c r="L4" s="7"/>
      <c r="M4" s="7"/>
    </row>
    <row r="5" spans="2:13" x14ac:dyDescent="0.25">
      <c r="B5" s="3" t="s">
        <v>57</v>
      </c>
      <c r="C5" s="14">
        <v>0.2</v>
      </c>
      <c r="D5" s="25">
        <v>6.2409999999999997</v>
      </c>
      <c r="E5" s="32">
        <v>0.23</v>
      </c>
      <c r="F5" s="29">
        <f>D5+(D5*E5)</f>
        <v>7.6764299999999999</v>
      </c>
      <c r="G5" s="20">
        <f>D5*C5</f>
        <v>1.2482</v>
      </c>
      <c r="H5" s="7"/>
      <c r="I5" s="7"/>
      <c r="J5" s="7"/>
      <c r="K5" s="7"/>
      <c r="L5" s="7"/>
      <c r="M5" s="7"/>
    </row>
    <row r="6" spans="2:13" x14ac:dyDescent="0.25">
      <c r="B6" s="3" t="s">
        <v>15</v>
      </c>
      <c r="C6" s="14">
        <v>0.03</v>
      </c>
      <c r="D6" s="25">
        <v>5.38</v>
      </c>
      <c r="E6" s="32">
        <v>0.06</v>
      </c>
      <c r="F6" s="29">
        <f t="shared" ref="F6:F10" si="0">D6+(D6*E6)</f>
        <v>5.7027999999999999</v>
      </c>
      <c r="G6" s="20">
        <f t="shared" ref="G6:G10" si="1">D6*C6</f>
        <v>0.16139999999999999</v>
      </c>
      <c r="H6" s="7"/>
      <c r="I6" s="7"/>
      <c r="J6" s="7"/>
      <c r="K6" s="7"/>
      <c r="L6" s="7"/>
      <c r="M6" s="7"/>
    </row>
    <row r="7" spans="2:13" x14ac:dyDescent="0.25">
      <c r="B7" s="3" t="s">
        <v>26</v>
      </c>
      <c r="C7" s="14">
        <v>0.01</v>
      </c>
      <c r="D7" s="25">
        <v>6.8</v>
      </c>
      <c r="E7" s="32">
        <v>0.06</v>
      </c>
      <c r="F7" s="29">
        <f t="shared" si="0"/>
        <v>7.2080000000000002</v>
      </c>
      <c r="G7" s="20">
        <f t="shared" si="1"/>
        <v>6.8000000000000005E-2</v>
      </c>
      <c r="H7" s="7"/>
      <c r="I7" s="7"/>
      <c r="J7" s="7"/>
      <c r="K7" s="7"/>
      <c r="L7" s="7"/>
      <c r="M7" s="7"/>
    </row>
    <row r="8" spans="2:13" x14ac:dyDescent="0.25">
      <c r="B8" s="3" t="s">
        <v>16</v>
      </c>
      <c r="C8" s="14">
        <v>0.05</v>
      </c>
      <c r="D8" s="25">
        <v>2.98</v>
      </c>
      <c r="E8" s="32">
        <v>0.06</v>
      </c>
      <c r="F8" s="29">
        <f t="shared" si="0"/>
        <v>3.1587999999999998</v>
      </c>
      <c r="G8" s="20">
        <f t="shared" si="1"/>
        <v>0.14899999999999999</v>
      </c>
      <c r="H8" s="7"/>
      <c r="I8" s="7"/>
      <c r="J8" s="7"/>
      <c r="K8" s="7"/>
      <c r="L8" s="7"/>
      <c r="M8" s="7"/>
    </row>
    <row r="9" spans="2:13" x14ac:dyDescent="0.25">
      <c r="B9" s="2" t="s">
        <v>40</v>
      </c>
      <c r="C9" s="16">
        <v>0.03</v>
      </c>
      <c r="D9" s="26">
        <v>0.11118598382749326</v>
      </c>
      <c r="E9" s="33">
        <v>0.06</v>
      </c>
      <c r="F9" s="29">
        <f t="shared" si="0"/>
        <v>0.11785714285714285</v>
      </c>
      <c r="G9" s="20">
        <f t="shared" si="1"/>
        <v>3.3355795148247978E-3</v>
      </c>
      <c r="H9" s="7"/>
      <c r="I9" s="7"/>
      <c r="J9" s="7"/>
      <c r="K9" s="7"/>
      <c r="L9" s="7"/>
      <c r="M9" s="7"/>
    </row>
    <row r="10" spans="2:13" ht="14.4" thickBot="1" x14ac:dyDescent="0.3">
      <c r="B10" s="1" t="s">
        <v>34</v>
      </c>
      <c r="C10" s="16">
        <v>0.02</v>
      </c>
      <c r="D10" s="26">
        <v>1.4</v>
      </c>
      <c r="E10" s="33">
        <v>0.06</v>
      </c>
      <c r="F10" s="29">
        <f t="shared" si="0"/>
        <v>1.484</v>
      </c>
      <c r="G10" s="20">
        <f t="shared" si="1"/>
        <v>2.7999999999999997E-2</v>
      </c>
      <c r="H10" s="7"/>
      <c r="I10" s="7"/>
      <c r="J10" s="7"/>
      <c r="K10" s="7"/>
      <c r="L10" s="7"/>
      <c r="M10" s="7"/>
    </row>
    <row r="11" spans="2:13" ht="14.4" thickTop="1" x14ac:dyDescent="0.25">
      <c r="B11" s="42" t="s">
        <v>18</v>
      </c>
      <c r="C11" s="43"/>
      <c r="D11" s="43"/>
      <c r="E11" s="43"/>
      <c r="F11" s="43"/>
      <c r="G11" s="23">
        <f>SUM(G5:G10)</f>
        <v>1.657935579514825</v>
      </c>
      <c r="H11" s="7"/>
      <c r="I11" s="7"/>
      <c r="J11" s="7"/>
      <c r="K11" s="7"/>
      <c r="L11" s="7"/>
      <c r="M11" s="7"/>
    </row>
    <row r="12" spans="2:13" x14ac:dyDescent="0.25">
      <c r="B12" s="44" t="s">
        <v>2</v>
      </c>
      <c r="C12" s="45"/>
      <c r="D12" s="45"/>
      <c r="E12" s="45"/>
      <c r="F12" s="45"/>
      <c r="G12" s="24">
        <v>12</v>
      </c>
      <c r="H12" s="7"/>
      <c r="I12" s="7"/>
      <c r="J12" s="7"/>
      <c r="K12" s="7"/>
      <c r="L12" s="7"/>
      <c r="M12" s="7"/>
    </row>
    <row r="13" spans="2:13" x14ac:dyDescent="0.25">
      <c r="B13" s="46" t="s">
        <v>17</v>
      </c>
      <c r="C13" s="47"/>
      <c r="D13" s="47"/>
      <c r="E13" s="47"/>
      <c r="F13" s="47"/>
      <c r="G13" s="22">
        <f>G12/1.13</f>
        <v>10.619469026548673</v>
      </c>
      <c r="H13" s="7"/>
      <c r="I13" s="7"/>
      <c r="J13" s="7"/>
      <c r="K13" s="7"/>
      <c r="L13" s="7"/>
      <c r="M13" s="7"/>
    </row>
    <row r="14" spans="2:13" ht="15" customHeight="1" thickBot="1" x14ac:dyDescent="0.3">
      <c r="B14" s="49" t="s">
        <v>3</v>
      </c>
      <c r="C14" s="50"/>
      <c r="D14" s="50"/>
      <c r="E14" s="50"/>
      <c r="F14" s="50"/>
      <c r="G14" s="18">
        <f>G11/G13</f>
        <v>0.15612226707097934</v>
      </c>
      <c r="H14" s="8"/>
      <c r="I14" s="7"/>
      <c r="J14" s="7"/>
      <c r="K14" s="7"/>
      <c r="L14" s="7"/>
      <c r="M14" s="7"/>
    </row>
    <row r="15" spans="2:13" ht="14.4" thickTop="1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2:13" x14ac:dyDescent="0.25">
      <c r="B16" s="41" t="s">
        <v>4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</row>
    <row r="17" spans="2:13" x14ac:dyDescent="0.25">
      <c r="B17" s="37" t="s">
        <v>5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</row>
  </sheetData>
  <mergeCells count="7">
    <mergeCell ref="B16:M16"/>
    <mergeCell ref="B17:M17"/>
    <mergeCell ref="B2:G2"/>
    <mergeCell ref="B11:F11"/>
    <mergeCell ref="B12:F12"/>
    <mergeCell ref="B13:F13"/>
    <mergeCell ref="B14:F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7351D-BA81-4415-BE61-65FF94DC9112}">
  <dimension ref="B1:M19"/>
  <sheetViews>
    <sheetView tabSelected="1" workbookViewId="0">
      <selection activeCell="H8" sqref="H8"/>
    </sheetView>
  </sheetViews>
  <sheetFormatPr defaultRowHeight="13.8" x14ac:dyDescent="0.25"/>
  <cols>
    <col min="1" max="1" width="8.88671875" style="11"/>
    <col min="2" max="2" width="20.77734375" style="11" customWidth="1"/>
    <col min="3" max="4" width="12.77734375" style="11" customWidth="1"/>
    <col min="5" max="5" width="6.77734375" style="11" customWidth="1"/>
    <col min="6" max="7" width="12.77734375" style="11" customWidth="1"/>
    <col min="8" max="16384" width="8.88671875" style="11"/>
  </cols>
  <sheetData>
    <row r="1" spans="2:13" ht="14.4" thickBot="1" x14ac:dyDescent="0.3"/>
    <row r="2" spans="2:13" ht="18" thickBot="1" x14ac:dyDescent="0.3">
      <c r="B2" s="38" t="s">
        <v>25</v>
      </c>
      <c r="C2" s="39"/>
      <c r="D2" s="39"/>
      <c r="E2" s="39"/>
      <c r="F2" s="39"/>
      <c r="G2" s="40"/>
      <c r="H2" s="7"/>
      <c r="I2" s="7"/>
      <c r="J2" s="7"/>
      <c r="K2" s="7"/>
      <c r="L2" s="7"/>
      <c r="M2" s="7"/>
    </row>
    <row r="3" spans="2:13" ht="14.4" thickBot="1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2:13" ht="14.4" thickTop="1" x14ac:dyDescent="0.25">
      <c r="B4" s="6" t="s">
        <v>0</v>
      </c>
      <c r="C4" s="5" t="s">
        <v>1</v>
      </c>
      <c r="D4" s="12" t="s">
        <v>60</v>
      </c>
      <c r="E4" s="12" t="s">
        <v>61</v>
      </c>
      <c r="F4" s="12" t="s">
        <v>62</v>
      </c>
      <c r="G4" s="4" t="s">
        <v>63</v>
      </c>
      <c r="H4" s="7"/>
      <c r="I4" s="7"/>
      <c r="J4" s="7"/>
      <c r="K4" s="7"/>
      <c r="L4" s="7"/>
      <c r="M4" s="7"/>
    </row>
    <row r="5" spans="2:13" x14ac:dyDescent="0.25">
      <c r="B5" s="3" t="s">
        <v>32</v>
      </c>
      <c r="C5" s="14">
        <v>0.04</v>
      </c>
      <c r="D5" s="25">
        <v>4.2</v>
      </c>
      <c r="E5" s="32">
        <v>0.06</v>
      </c>
      <c r="F5" s="29">
        <f>D5+(D5*E5)</f>
        <v>4.452</v>
      </c>
      <c r="G5" s="20">
        <f>D5*C5</f>
        <v>0.16800000000000001</v>
      </c>
      <c r="H5" s="7"/>
      <c r="I5" s="7"/>
      <c r="J5" s="7"/>
      <c r="K5" s="7"/>
      <c r="L5" s="7"/>
      <c r="M5" s="7"/>
    </row>
    <row r="6" spans="2:13" x14ac:dyDescent="0.25">
      <c r="B6" s="3" t="s">
        <v>56</v>
      </c>
      <c r="C6" s="14">
        <v>7.4999999999999997E-2</v>
      </c>
      <c r="D6" s="25">
        <v>7.6</v>
      </c>
      <c r="E6" s="32">
        <v>0.06</v>
      </c>
      <c r="F6" s="29">
        <f t="shared" ref="F6:F12" si="0">D6+(D6*E6)</f>
        <v>8.0559999999999992</v>
      </c>
      <c r="G6" s="20">
        <f t="shared" ref="G6:G12" si="1">D6*C6</f>
        <v>0.56999999999999995</v>
      </c>
      <c r="H6" s="7"/>
      <c r="I6" s="7"/>
      <c r="J6" s="7"/>
      <c r="K6" s="7"/>
      <c r="L6" s="7"/>
      <c r="M6" s="7"/>
    </row>
    <row r="7" spans="2:13" x14ac:dyDescent="0.25">
      <c r="B7" s="3" t="s">
        <v>52</v>
      </c>
      <c r="C7" s="14">
        <v>0.06</v>
      </c>
      <c r="D7" s="25">
        <v>14</v>
      </c>
      <c r="E7" s="32">
        <v>0.06</v>
      </c>
      <c r="F7" s="29">
        <f t="shared" si="0"/>
        <v>14.84</v>
      </c>
      <c r="G7" s="20">
        <f t="shared" si="1"/>
        <v>0.84</v>
      </c>
      <c r="H7" s="7"/>
      <c r="I7" s="7"/>
      <c r="J7" s="7"/>
      <c r="K7" s="7"/>
      <c r="L7" s="7"/>
      <c r="M7" s="7"/>
    </row>
    <row r="8" spans="2:13" x14ac:dyDescent="0.25">
      <c r="B8" s="3" t="s">
        <v>33</v>
      </c>
      <c r="C8" s="14">
        <v>0.02</v>
      </c>
      <c r="D8" s="25">
        <v>1.1000000000000001</v>
      </c>
      <c r="E8" s="32">
        <v>0.06</v>
      </c>
      <c r="F8" s="29">
        <f t="shared" si="0"/>
        <v>1.1660000000000001</v>
      </c>
      <c r="G8" s="20">
        <f t="shared" si="1"/>
        <v>2.2000000000000002E-2</v>
      </c>
      <c r="H8" s="7"/>
      <c r="I8" s="7"/>
      <c r="J8" s="7"/>
      <c r="K8" s="7"/>
      <c r="L8" s="7"/>
      <c r="M8" s="7"/>
    </row>
    <row r="9" spans="2:13" x14ac:dyDescent="0.25">
      <c r="B9" s="2" t="s">
        <v>26</v>
      </c>
      <c r="C9" s="16">
        <v>4.0000000000000001E-3</v>
      </c>
      <c r="D9" s="26">
        <v>6.8</v>
      </c>
      <c r="E9" s="33">
        <v>0.06</v>
      </c>
      <c r="F9" s="29">
        <f t="shared" si="0"/>
        <v>7.2080000000000002</v>
      </c>
      <c r="G9" s="20">
        <f t="shared" si="1"/>
        <v>2.7199999999999998E-2</v>
      </c>
      <c r="H9" s="7"/>
      <c r="I9" s="7"/>
      <c r="J9" s="7"/>
      <c r="K9" s="7"/>
      <c r="L9" s="7"/>
      <c r="M9" s="7"/>
    </row>
    <row r="10" spans="2:13" x14ac:dyDescent="0.25">
      <c r="B10" s="1" t="s">
        <v>27</v>
      </c>
      <c r="C10" s="16">
        <v>5.0000000000000001E-3</v>
      </c>
      <c r="D10" s="26">
        <v>5.8</v>
      </c>
      <c r="E10" s="33">
        <v>0.06</v>
      </c>
      <c r="F10" s="29">
        <f t="shared" si="0"/>
        <v>6.1479999999999997</v>
      </c>
      <c r="G10" s="20">
        <f t="shared" si="1"/>
        <v>2.8999999999999998E-2</v>
      </c>
      <c r="H10" s="7"/>
      <c r="I10" s="7"/>
      <c r="J10" s="7"/>
      <c r="K10" s="7"/>
      <c r="L10" s="7"/>
      <c r="M10" s="7"/>
    </row>
    <row r="11" spans="2:13" x14ac:dyDescent="0.25">
      <c r="B11" s="1" t="s">
        <v>66</v>
      </c>
      <c r="C11" s="16">
        <v>1.4999999999999999E-2</v>
      </c>
      <c r="D11" s="26">
        <v>1.93598</v>
      </c>
      <c r="E11" s="33"/>
      <c r="F11" s="29">
        <f>D11+(D11*E11)</f>
        <v>1.93598</v>
      </c>
      <c r="G11" s="20">
        <f>C11*D11</f>
        <v>0.029039699999999998</v>
      </c>
      <c r="H11" s="7"/>
      <c r="I11" s="7"/>
      <c r="J11" s="7"/>
      <c r="K11" s="7"/>
      <c r="L11" s="7"/>
      <c r="M11" s="7"/>
    </row>
    <row r="12" spans="2:13" ht="14.4" thickBot="1" x14ac:dyDescent="0.3">
      <c r="B12" s="1" t="s">
        <v>34</v>
      </c>
      <c r="C12" s="16">
        <v>5.0000000000000001E-3</v>
      </c>
      <c r="D12" s="26">
        <v>1.4</v>
      </c>
      <c r="E12" s="33">
        <v>0.06</v>
      </c>
      <c r="F12" s="29">
        <f t="shared" si="0"/>
        <v>1.484</v>
      </c>
      <c r="G12" s="20">
        <f t="shared" si="1"/>
        <v>6.9999999999999993E-3</v>
      </c>
      <c r="H12" s="7"/>
      <c r="I12" s="7"/>
      <c r="J12" s="7"/>
      <c r="K12" s="7"/>
      <c r="L12" s="7"/>
      <c r="M12" s="7"/>
    </row>
    <row r="13" spans="2:13" ht="14.4" thickTop="1" x14ac:dyDescent="0.25">
      <c r="B13" s="42" t="s">
        <v>18</v>
      </c>
      <c r="C13" s="43"/>
      <c r="D13" s="43"/>
      <c r="E13" s="43"/>
      <c r="F13" s="51"/>
      <c r="G13" s="30">
        <f>SUM(G5:G12)</f>
        <v>1.6922396999999996</v>
      </c>
      <c r="H13" s="7"/>
      <c r="I13" s="7"/>
      <c r="J13" s="7"/>
      <c r="K13" s="7"/>
      <c r="L13" s="7"/>
      <c r="M13" s="7"/>
    </row>
    <row r="14" spans="2:13" x14ac:dyDescent="0.25">
      <c r="B14" s="44" t="s">
        <v>2</v>
      </c>
      <c r="C14" s="45"/>
      <c r="D14" s="45"/>
      <c r="E14" s="45"/>
      <c r="F14" s="52"/>
      <c r="G14" s="31">
        <v>15</v>
      </c>
      <c r="H14" s="7"/>
      <c r="I14" s="7"/>
      <c r="J14" s="7"/>
      <c r="K14" s="7"/>
      <c r="L14" s="7"/>
      <c r="M14" s="7"/>
    </row>
    <row r="15" spans="2:13" x14ac:dyDescent="0.25">
      <c r="B15" s="46" t="s">
        <v>17</v>
      </c>
      <c r="C15" s="47"/>
      <c r="D15" s="47"/>
      <c r="E15" s="47"/>
      <c r="F15" s="48"/>
      <c r="G15" s="31">
        <f>G14/1.13</f>
        <v>13.274336283185843</v>
      </c>
      <c r="H15" s="7"/>
      <c r="I15" s="7"/>
      <c r="J15" s="7"/>
      <c r="K15" s="7"/>
      <c r="L15" s="7"/>
      <c r="M15" s="7"/>
    </row>
    <row r="16" spans="2:13" ht="15" customHeight="1" thickBot="1" x14ac:dyDescent="0.3">
      <c r="B16" s="49" t="s">
        <v>3</v>
      </c>
      <c r="C16" s="50"/>
      <c r="D16" s="50"/>
      <c r="E16" s="50"/>
      <c r="F16" s="50"/>
      <c r="G16" s="18">
        <f>G13/G15</f>
        <v>0.12748205739999996</v>
      </c>
      <c r="H16" s="17"/>
      <c r="I16" s="7"/>
      <c r="J16" s="7"/>
      <c r="K16" s="7"/>
      <c r="L16" s="7"/>
      <c r="M16" s="7"/>
    </row>
    <row r="17" spans="2:13" ht="14.4" thickTop="1" x14ac:dyDescent="0.2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2:13" x14ac:dyDescent="0.25">
      <c r="B18" s="41" t="s">
        <v>4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</row>
    <row r="19" spans="2:13" x14ac:dyDescent="0.25">
      <c r="B19" s="37" t="s">
        <v>5</v>
      </c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</row>
  </sheetData>
  <mergeCells count="7">
    <mergeCell ref="B18:M18"/>
    <mergeCell ref="B19:M19"/>
    <mergeCell ref="B2:G2"/>
    <mergeCell ref="B13:F13"/>
    <mergeCell ref="B14:F14"/>
    <mergeCell ref="B15:F15"/>
    <mergeCell ref="B16:F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3919F-C4D2-4A9E-B99D-0C4EA08468E9}">
  <dimension ref="B1:M16"/>
  <sheetViews>
    <sheetView workbookViewId="0">
      <selection activeCell="C28" sqref="C28"/>
    </sheetView>
  </sheetViews>
  <sheetFormatPr defaultRowHeight="13.8" x14ac:dyDescent="0.25"/>
  <cols>
    <col min="1" max="1" width="8.88671875" style="11"/>
    <col min="2" max="2" width="20.77734375" style="11" customWidth="1"/>
    <col min="3" max="4" width="12.77734375" style="11" customWidth="1"/>
    <col min="5" max="5" width="6.77734375" style="11" customWidth="1"/>
    <col min="6" max="7" width="12.77734375" style="11" customWidth="1"/>
    <col min="8" max="16384" width="8.88671875" style="11"/>
  </cols>
  <sheetData>
    <row r="1" spans="2:13" ht="14.4" thickBot="1" x14ac:dyDescent="0.3"/>
    <row r="2" spans="2:13" ht="18" thickBot="1" x14ac:dyDescent="0.3">
      <c r="B2" s="38" t="s">
        <v>7</v>
      </c>
      <c r="C2" s="39"/>
      <c r="D2" s="39"/>
      <c r="E2" s="39"/>
      <c r="F2" s="39"/>
      <c r="G2" s="40"/>
      <c r="H2" s="7"/>
      <c r="I2" s="7"/>
      <c r="J2" s="7"/>
      <c r="K2" s="7"/>
      <c r="L2" s="7"/>
      <c r="M2" s="7"/>
    </row>
    <row r="3" spans="2:13" ht="14.4" thickBot="1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2:13" ht="14.4" thickTop="1" x14ac:dyDescent="0.25">
      <c r="B4" s="6" t="s">
        <v>0</v>
      </c>
      <c r="C4" s="5" t="s">
        <v>1</v>
      </c>
      <c r="D4" s="12" t="s">
        <v>60</v>
      </c>
      <c r="E4" s="12" t="s">
        <v>61</v>
      </c>
      <c r="F4" s="12" t="s">
        <v>62</v>
      </c>
      <c r="G4" s="4" t="s">
        <v>63</v>
      </c>
      <c r="H4" s="7"/>
      <c r="I4" s="7"/>
      <c r="J4" s="7"/>
      <c r="K4" s="7"/>
      <c r="L4" s="7"/>
      <c r="M4" s="7"/>
    </row>
    <row r="5" spans="2:13" x14ac:dyDescent="0.25">
      <c r="B5" s="3" t="s">
        <v>65</v>
      </c>
      <c r="C5" s="13">
        <v>0.22</v>
      </c>
      <c r="D5" s="25">
        <v>2.5744479999999994</v>
      </c>
      <c r="E5" s="32"/>
      <c r="F5" s="29">
        <f>D5+(D5*E5)</f>
        <v>2.5744479999999994</v>
      </c>
      <c r="G5" s="20">
        <f>D5*C5</f>
        <v>0.5663785599999999</v>
      </c>
      <c r="H5" s="7"/>
      <c r="I5" s="7"/>
      <c r="J5" s="7"/>
      <c r="K5" s="7"/>
      <c r="L5" s="7"/>
      <c r="M5" s="7"/>
    </row>
    <row r="6" spans="2:13" x14ac:dyDescent="0.25">
      <c r="B6" s="3" t="s">
        <v>55</v>
      </c>
      <c r="C6" s="13">
        <v>2.5000000000000001E-2</v>
      </c>
      <c r="D6" s="25">
        <v>0.72799999999999998</v>
      </c>
      <c r="E6" s="32">
        <v>0.06</v>
      </c>
      <c r="F6" s="29">
        <f t="shared" ref="F6:F9" si="0">D6+(D6*E6)</f>
        <v>0.77167999999999992</v>
      </c>
      <c r="G6" s="20">
        <f t="shared" ref="G6:G9" si="1">D6*C6</f>
        <v>1.8200000000000001E-2</v>
      </c>
      <c r="H6" s="7"/>
      <c r="I6" s="7"/>
      <c r="J6" s="7"/>
      <c r="K6" s="7"/>
      <c r="L6" s="7"/>
      <c r="M6" s="7"/>
    </row>
    <row r="7" spans="2:13" x14ac:dyDescent="0.25">
      <c r="B7" s="3" t="s">
        <v>19</v>
      </c>
      <c r="C7" s="13" t="s">
        <v>31</v>
      </c>
      <c r="D7" s="25" t="s">
        <v>31</v>
      </c>
      <c r="E7" s="32" t="s">
        <v>31</v>
      </c>
      <c r="F7" s="29" t="s">
        <v>31</v>
      </c>
      <c r="G7" s="20" t="s">
        <v>31</v>
      </c>
      <c r="H7" s="7"/>
      <c r="I7" s="7"/>
      <c r="J7" s="7"/>
      <c r="K7" s="7"/>
      <c r="L7" s="7"/>
      <c r="M7" s="7"/>
    </row>
    <row r="8" spans="2:13" x14ac:dyDescent="0.25">
      <c r="B8" s="3" t="s">
        <v>64</v>
      </c>
      <c r="C8" s="13">
        <v>0.03</v>
      </c>
      <c r="D8" s="25">
        <v>2.471612</v>
      </c>
      <c r="E8" s="32"/>
      <c r="F8" s="29">
        <f t="shared" si="0"/>
        <v>2.471612</v>
      </c>
      <c r="G8" s="20">
        <f t="shared" si="1"/>
        <v>0.07414836</v>
      </c>
      <c r="H8" s="7"/>
      <c r="I8" s="7"/>
      <c r="J8" s="7"/>
      <c r="K8" s="7"/>
      <c r="L8" s="7"/>
      <c r="M8" s="7"/>
    </row>
    <row r="9" spans="2:13" ht="14.4" thickBot="1" x14ac:dyDescent="0.3">
      <c r="B9" s="2" t="s">
        <v>20</v>
      </c>
      <c r="C9" s="15">
        <v>0.04</v>
      </c>
      <c r="D9" s="26">
        <v>1.6</v>
      </c>
      <c r="E9" s="33">
        <v>0.06</v>
      </c>
      <c r="F9" s="29">
        <f t="shared" si="0"/>
        <v>1.6960000000000002</v>
      </c>
      <c r="G9" s="20">
        <f t="shared" si="1"/>
        <v>6.4000000000000001E-2</v>
      </c>
      <c r="H9" s="7"/>
      <c r="I9" s="7"/>
      <c r="J9" s="7"/>
      <c r="K9" s="7"/>
      <c r="L9" s="7"/>
      <c r="M9" s="7"/>
    </row>
    <row r="10" spans="2:13" ht="14.4" thickTop="1" x14ac:dyDescent="0.25">
      <c r="B10" s="42" t="s">
        <v>18</v>
      </c>
      <c r="C10" s="43"/>
      <c r="D10" s="43"/>
      <c r="E10" s="43"/>
      <c r="F10" s="43"/>
      <c r="G10" s="23">
        <f>SUM(G5:G9)</f>
        <v>0.7227269199999999</v>
      </c>
      <c r="H10" s="7"/>
      <c r="I10" s="7"/>
      <c r="J10" s="7"/>
      <c r="K10" s="7"/>
      <c r="L10" s="7"/>
      <c r="M10" s="7"/>
    </row>
    <row r="11" spans="2:13" x14ac:dyDescent="0.25">
      <c r="B11" s="44" t="s">
        <v>2</v>
      </c>
      <c r="C11" s="45"/>
      <c r="D11" s="45"/>
      <c r="E11" s="45"/>
      <c r="F11" s="45"/>
      <c r="G11" s="24">
        <v>13</v>
      </c>
      <c r="H11" s="7"/>
      <c r="I11" s="7"/>
      <c r="J11" s="7"/>
      <c r="K11" s="7"/>
      <c r="L11" s="7"/>
      <c r="M11" s="7"/>
    </row>
    <row r="12" spans="2:13" x14ac:dyDescent="0.25">
      <c r="B12" s="46" t="s">
        <v>17</v>
      </c>
      <c r="C12" s="47"/>
      <c r="D12" s="47"/>
      <c r="E12" s="47"/>
      <c r="F12" s="48"/>
      <c r="G12" s="31">
        <f>G11/1.13</f>
        <v>11.504424778761063</v>
      </c>
      <c r="H12" s="7"/>
      <c r="I12" s="7"/>
      <c r="J12" s="7"/>
      <c r="K12" s="7"/>
      <c r="L12" s="7"/>
      <c r="M12" s="7"/>
    </row>
    <row r="13" spans="2:13" ht="15" customHeight="1" thickBot="1" x14ac:dyDescent="0.3">
      <c r="B13" s="49" t="s">
        <v>3</v>
      </c>
      <c r="C13" s="50"/>
      <c r="D13" s="50"/>
      <c r="E13" s="50"/>
      <c r="F13" s="50"/>
      <c r="G13" s="18">
        <f>G10/G12</f>
        <v>0.06282164766153846</v>
      </c>
      <c r="H13" s="8"/>
      <c r="I13" s="7"/>
      <c r="J13" s="7"/>
      <c r="K13" s="7"/>
      <c r="L13" s="7"/>
      <c r="M13" s="7"/>
    </row>
    <row r="14" spans="2:13" ht="14.4" thickTop="1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2:13" x14ac:dyDescent="0.25">
      <c r="B15" s="41" t="s">
        <v>4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</row>
    <row r="16" spans="2:13" x14ac:dyDescent="0.25">
      <c r="B16" s="37" t="s">
        <v>5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</row>
  </sheetData>
  <mergeCells count="7">
    <mergeCell ref="B16:M16"/>
    <mergeCell ref="B2:G2"/>
    <mergeCell ref="B15:M15"/>
    <mergeCell ref="B10:F10"/>
    <mergeCell ref="B11:F11"/>
    <mergeCell ref="B12:F12"/>
    <mergeCell ref="B13:F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EF600-91F8-429A-9B40-051E143583A4}">
  <dimension ref="B1:M17"/>
  <sheetViews>
    <sheetView workbookViewId="0">
      <selection activeCell="E5" sqref="E5:E10"/>
    </sheetView>
  </sheetViews>
  <sheetFormatPr defaultRowHeight="13.8" x14ac:dyDescent="0.25"/>
  <cols>
    <col min="1" max="1" width="8.88671875" style="11"/>
    <col min="2" max="2" width="20.77734375" style="11" customWidth="1"/>
    <col min="3" max="4" width="12.77734375" style="11" customWidth="1"/>
    <col min="5" max="5" width="6.77734375" style="11" customWidth="1"/>
    <col min="6" max="7" width="12.77734375" style="11" customWidth="1"/>
    <col min="8" max="16384" width="8.88671875" style="11"/>
  </cols>
  <sheetData>
    <row r="1" spans="2:13" ht="14.4" thickBot="1" x14ac:dyDescent="0.3"/>
    <row r="2" spans="2:13" ht="18" thickBot="1" x14ac:dyDescent="0.3">
      <c r="B2" s="38" t="s">
        <v>8</v>
      </c>
      <c r="C2" s="39"/>
      <c r="D2" s="39"/>
      <c r="E2" s="39"/>
      <c r="F2" s="39"/>
      <c r="G2" s="40"/>
      <c r="H2" s="7"/>
      <c r="I2" s="7"/>
      <c r="J2" s="7"/>
      <c r="K2" s="7"/>
      <c r="L2" s="7"/>
      <c r="M2" s="7"/>
    </row>
    <row r="3" spans="2:13" ht="14.4" thickBot="1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2:13" ht="14.4" thickTop="1" x14ac:dyDescent="0.25">
      <c r="B4" s="6" t="s">
        <v>0</v>
      </c>
      <c r="C4" s="5" t="s">
        <v>1</v>
      </c>
      <c r="D4" s="12" t="s">
        <v>60</v>
      </c>
      <c r="E4" s="12" t="s">
        <v>61</v>
      </c>
      <c r="F4" s="12" t="s">
        <v>62</v>
      </c>
      <c r="G4" s="4" t="s">
        <v>63</v>
      </c>
      <c r="H4" s="7"/>
      <c r="I4" s="7"/>
      <c r="J4" s="7"/>
      <c r="K4" s="7"/>
      <c r="L4" s="7"/>
      <c r="M4" s="7"/>
    </row>
    <row r="5" spans="2:13" x14ac:dyDescent="0.25">
      <c r="B5" s="3" t="s">
        <v>54</v>
      </c>
      <c r="C5" s="14">
        <v>0.33</v>
      </c>
      <c r="D5" s="25">
        <v>1.25</v>
      </c>
      <c r="E5" s="32">
        <v>0.23</v>
      </c>
      <c r="F5" s="29">
        <f>D5+(D5*E5)</f>
        <v>1.5375000000000001</v>
      </c>
      <c r="G5" s="20">
        <f>D5*C5</f>
        <v>0.41250000000000003</v>
      </c>
      <c r="H5" s="7"/>
      <c r="I5" s="7"/>
      <c r="J5" s="7"/>
      <c r="K5" s="7"/>
      <c r="L5" s="7"/>
      <c r="M5" s="7"/>
    </row>
    <row r="6" spans="2:13" x14ac:dyDescent="0.25">
      <c r="B6" s="3" t="s">
        <v>19</v>
      </c>
      <c r="C6" s="14" t="s">
        <v>31</v>
      </c>
      <c r="D6" s="25" t="s">
        <v>31</v>
      </c>
      <c r="E6" s="32" t="s">
        <v>31</v>
      </c>
      <c r="F6" s="29" t="s">
        <v>31</v>
      </c>
      <c r="G6" s="20" t="s">
        <v>31</v>
      </c>
      <c r="H6" s="7"/>
      <c r="I6" s="7"/>
      <c r="J6" s="7"/>
      <c r="K6" s="7"/>
      <c r="L6" s="7"/>
      <c r="M6" s="7"/>
    </row>
    <row r="7" spans="2:13" x14ac:dyDescent="0.25">
      <c r="B7" s="3" t="s">
        <v>35</v>
      </c>
      <c r="C7" s="14">
        <v>5.5E-2</v>
      </c>
      <c r="D7" s="25">
        <v>9.8140000000000001</v>
      </c>
      <c r="E7" s="32">
        <v>0.23</v>
      </c>
      <c r="F7" s="29">
        <f t="shared" ref="F7:F10" si="0">D7+(D7*E7)</f>
        <v>12.07122</v>
      </c>
      <c r="G7" s="20">
        <f t="shared" ref="G7:G10" si="1">D7*C7</f>
        <v>0.53976999999999997</v>
      </c>
      <c r="H7" s="7"/>
      <c r="I7" s="7"/>
      <c r="J7" s="7"/>
      <c r="K7" s="7"/>
      <c r="L7" s="7"/>
      <c r="M7" s="7"/>
    </row>
    <row r="8" spans="2:13" x14ac:dyDescent="0.25">
      <c r="B8" s="3" t="s">
        <v>36</v>
      </c>
      <c r="C8" s="14">
        <v>0.01</v>
      </c>
      <c r="D8" s="25">
        <v>3.2</v>
      </c>
      <c r="E8" s="32">
        <v>0.06</v>
      </c>
      <c r="F8" s="29">
        <f t="shared" si="0"/>
        <v>3.3920000000000003</v>
      </c>
      <c r="G8" s="20">
        <f t="shared" si="1"/>
        <v>3.2000000000000001E-2</v>
      </c>
      <c r="H8" s="7"/>
      <c r="I8" s="7"/>
      <c r="J8" s="7"/>
      <c r="K8" s="7"/>
      <c r="L8" s="7"/>
      <c r="M8" s="7"/>
    </row>
    <row r="9" spans="2:13" x14ac:dyDescent="0.25">
      <c r="B9" s="2" t="s">
        <v>58</v>
      </c>
      <c r="C9" s="16">
        <v>3</v>
      </c>
      <c r="D9" s="26">
        <v>0.2</v>
      </c>
      <c r="E9" s="33">
        <v>0.06</v>
      </c>
      <c r="F9" s="29">
        <f t="shared" si="0"/>
        <v>0.21200000000000002</v>
      </c>
      <c r="G9" s="20">
        <f t="shared" si="1"/>
        <v>0.60000000000000009</v>
      </c>
      <c r="H9" s="7"/>
      <c r="I9" s="7"/>
      <c r="J9" s="7"/>
      <c r="K9" s="7"/>
      <c r="L9" s="7"/>
      <c r="M9" s="7"/>
    </row>
    <row r="10" spans="2:13" ht="14.4" thickBot="1" x14ac:dyDescent="0.3">
      <c r="B10" s="1" t="s">
        <v>34</v>
      </c>
      <c r="C10" s="16">
        <v>5.0000000000000001E-3</v>
      </c>
      <c r="D10" s="26">
        <v>1.4</v>
      </c>
      <c r="E10" s="33">
        <v>0.06</v>
      </c>
      <c r="F10" s="29">
        <f t="shared" si="0"/>
        <v>1.484</v>
      </c>
      <c r="G10" s="20">
        <f t="shared" si="1"/>
        <v>6.9999999999999993E-3</v>
      </c>
      <c r="H10" s="7"/>
      <c r="I10" s="7"/>
      <c r="J10" s="7"/>
      <c r="K10" s="7"/>
      <c r="L10" s="7"/>
      <c r="M10" s="7"/>
    </row>
    <row r="11" spans="2:13" ht="14.4" thickTop="1" x14ac:dyDescent="0.25">
      <c r="B11" s="42" t="s">
        <v>18</v>
      </c>
      <c r="C11" s="43"/>
      <c r="D11" s="43"/>
      <c r="E11" s="43"/>
      <c r="F11" s="43"/>
      <c r="G11" s="23">
        <f>SUM(G5:G10)</f>
        <v>1.59127</v>
      </c>
      <c r="H11" s="7"/>
      <c r="I11" s="7"/>
      <c r="J11" s="7"/>
      <c r="K11" s="7"/>
      <c r="L11" s="7"/>
      <c r="M11" s="7"/>
    </row>
    <row r="12" spans="2:13" x14ac:dyDescent="0.25">
      <c r="B12" s="44" t="s">
        <v>2</v>
      </c>
      <c r="C12" s="45"/>
      <c r="D12" s="45"/>
      <c r="E12" s="45"/>
      <c r="F12" s="45"/>
      <c r="G12" s="24">
        <v>12</v>
      </c>
      <c r="H12" s="7"/>
      <c r="I12" s="7"/>
      <c r="J12" s="7"/>
      <c r="K12" s="7"/>
      <c r="L12" s="7"/>
      <c r="M12" s="7"/>
    </row>
    <row r="13" spans="2:13" x14ac:dyDescent="0.25">
      <c r="B13" s="46" t="s">
        <v>17</v>
      </c>
      <c r="C13" s="47"/>
      <c r="D13" s="47"/>
      <c r="E13" s="47"/>
      <c r="F13" s="48"/>
      <c r="G13" s="31">
        <f>G12/1.13</f>
        <v>10.619469026548673</v>
      </c>
      <c r="H13" s="7"/>
      <c r="I13" s="7"/>
      <c r="J13" s="7"/>
      <c r="K13" s="7"/>
      <c r="L13" s="7"/>
      <c r="M13" s="7"/>
    </row>
    <row r="14" spans="2:13" ht="15" customHeight="1" thickBot="1" x14ac:dyDescent="0.3">
      <c r="B14" s="49" t="s">
        <v>3</v>
      </c>
      <c r="C14" s="50"/>
      <c r="D14" s="50"/>
      <c r="E14" s="50"/>
      <c r="F14" s="50"/>
      <c r="G14" s="18">
        <f>G11/G13</f>
        <v>0.14984459166666667</v>
      </c>
      <c r="H14" s="8"/>
      <c r="I14" s="7"/>
      <c r="J14" s="7"/>
      <c r="K14" s="7"/>
      <c r="L14" s="7"/>
      <c r="M14" s="7"/>
    </row>
    <row r="15" spans="2:13" ht="14.4" thickTop="1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2:13" x14ac:dyDescent="0.25">
      <c r="B16" s="41" t="s">
        <v>4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</row>
    <row r="17" spans="2:13" x14ac:dyDescent="0.25">
      <c r="B17" s="37" t="s">
        <v>5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</row>
  </sheetData>
  <mergeCells count="7">
    <mergeCell ref="B17:M17"/>
    <mergeCell ref="B2:G2"/>
    <mergeCell ref="B16:M16"/>
    <mergeCell ref="B11:F11"/>
    <mergeCell ref="B12:F12"/>
    <mergeCell ref="B13:F13"/>
    <mergeCell ref="B14:F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25151-BB0C-4C35-A743-93269ECE3E9D}">
  <dimension ref="B1:M14"/>
  <sheetViews>
    <sheetView workbookViewId="0">
      <selection activeCell="E5" sqref="E5:E7"/>
    </sheetView>
  </sheetViews>
  <sheetFormatPr defaultRowHeight="13.8" x14ac:dyDescent="0.25"/>
  <cols>
    <col min="1" max="1" width="8.88671875" style="11"/>
    <col min="2" max="2" width="20.77734375" style="11" customWidth="1"/>
    <col min="3" max="4" width="12.77734375" style="11" customWidth="1"/>
    <col min="5" max="5" width="6.77734375" style="11" customWidth="1"/>
    <col min="6" max="7" width="12.77734375" style="11" customWidth="1"/>
    <col min="8" max="16384" width="8.88671875" style="11"/>
  </cols>
  <sheetData>
    <row r="1" spans="2:13" ht="14.4" thickBot="1" x14ac:dyDescent="0.3"/>
    <row r="2" spans="2:13" ht="18" thickBot="1" x14ac:dyDescent="0.3">
      <c r="B2" s="38" t="s">
        <v>9</v>
      </c>
      <c r="C2" s="39"/>
      <c r="D2" s="39"/>
      <c r="E2" s="39"/>
      <c r="F2" s="39"/>
      <c r="G2" s="40"/>
      <c r="H2" s="7"/>
      <c r="I2" s="7"/>
      <c r="J2" s="7"/>
      <c r="K2" s="7"/>
      <c r="L2" s="7"/>
      <c r="M2" s="7"/>
    </row>
    <row r="3" spans="2:13" ht="14.4" thickBot="1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2:13" ht="14.4" thickTop="1" x14ac:dyDescent="0.25">
      <c r="B4" s="6" t="s">
        <v>0</v>
      </c>
      <c r="C4" s="5" t="s">
        <v>1</v>
      </c>
      <c r="D4" s="12" t="s">
        <v>60</v>
      </c>
      <c r="E4" s="12" t="s">
        <v>61</v>
      </c>
      <c r="F4" s="12" t="s">
        <v>62</v>
      </c>
      <c r="G4" s="4" t="s">
        <v>63</v>
      </c>
      <c r="H4" s="7"/>
      <c r="I4" s="7"/>
      <c r="J4" s="7"/>
      <c r="K4" s="7"/>
      <c r="L4" s="7"/>
      <c r="M4" s="7"/>
    </row>
    <row r="5" spans="2:13" x14ac:dyDescent="0.25">
      <c r="B5" s="3" t="s">
        <v>53</v>
      </c>
      <c r="C5" s="14">
        <v>1</v>
      </c>
      <c r="D5" s="25">
        <v>0.3</v>
      </c>
      <c r="E5" s="32">
        <v>0.23</v>
      </c>
      <c r="F5" s="29">
        <f>D5+(D5*E5)</f>
        <v>0.36899999999999999</v>
      </c>
      <c r="G5" s="20">
        <f>D5*C5</f>
        <v>0.3</v>
      </c>
      <c r="H5" s="7"/>
      <c r="I5" s="7"/>
      <c r="J5" s="7"/>
      <c r="K5" s="7"/>
      <c r="L5" s="7"/>
      <c r="M5" s="7"/>
    </row>
    <row r="6" spans="2:13" x14ac:dyDescent="0.25">
      <c r="B6" s="3" t="s">
        <v>19</v>
      </c>
      <c r="C6" s="14" t="s">
        <v>31</v>
      </c>
      <c r="D6" s="25" t="s">
        <v>31</v>
      </c>
      <c r="E6" s="32" t="s">
        <v>31</v>
      </c>
      <c r="F6" s="29" t="s">
        <v>31</v>
      </c>
      <c r="G6" s="20" t="s">
        <v>31</v>
      </c>
      <c r="H6" s="7"/>
      <c r="I6" s="7"/>
      <c r="J6" s="7"/>
      <c r="K6" s="7"/>
      <c r="L6" s="7"/>
      <c r="M6" s="7"/>
    </row>
    <row r="7" spans="2:13" ht="14.4" thickBot="1" x14ac:dyDescent="0.3">
      <c r="B7" s="3" t="s">
        <v>30</v>
      </c>
      <c r="C7" s="14">
        <v>0.01</v>
      </c>
      <c r="D7" s="25">
        <v>3.94</v>
      </c>
      <c r="E7" s="32">
        <v>0.23</v>
      </c>
      <c r="F7" s="29">
        <f t="shared" ref="F7" si="0">D7+(D7*E7)</f>
        <v>4.8461999999999996</v>
      </c>
      <c r="G7" s="20">
        <f t="shared" ref="G7" si="1">D7*C7</f>
        <v>3.9399999999999998E-2</v>
      </c>
      <c r="H7" s="7"/>
      <c r="I7" s="7"/>
      <c r="J7" s="7"/>
      <c r="K7" s="7"/>
      <c r="L7" s="7"/>
      <c r="M7" s="7"/>
    </row>
    <row r="8" spans="2:13" ht="14.4" thickTop="1" x14ac:dyDescent="0.25">
      <c r="B8" s="42" t="s">
        <v>18</v>
      </c>
      <c r="C8" s="43"/>
      <c r="D8" s="43"/>
      <c r="E8" s="43"/>
      <c r="F8" s="43"/>
      <c r="G8" s="23">
        <f>SUM(G5:G7)</f>
        <v>0.33939999999999998</v>
      </c>
      <c r="H8" s="7"/>
      <c r="I8" s="7"/>
      <c r="J8" s="7"/>
      <c r="K8" s="7"/>
      <c r="L8" s="7"/>
      <c r="M8" s="7"/>
    </row>
    <row r="9" spans="2:13" x14ac:dyDescent="0.25">
      <c r="B9" s="44" t="s">
        <v>2</v>
      </c>
      <c r="C9" s="45"/>
      <c r="D9" s="45"/>
      <c r="E9" s="45"/>
      <c r="F9" s="45"/>
      <c r="G9" s="24">
        <v>3</v>
      </c>
      <c r="H9" s="7"/>
      <c r="I9" s="7"/>
      <c r="J9" s="7"/>
      <c r="K9" s="7"/>
      <c r="L9" s="7"/>
      <c r="M9" s="7"/>
    </row>
    <row r="10" spans="2:13" x14ac:dyDescent="0.25">
      <c r="B10" s="46" t="s">
        <v>17</v>
      </c>
      <c r="C10" s="47"/>
      <c r="D10" s="47"/>
      <c r="E10" s="47"/>
      <c r="F10" s="48"/>
      <c r="G10" s="31">
        <f>G9/1.13</f>
        <v>2.6548672566371683</v>
      </c>
      <c r="H10" s="7"/>
      <c r="I10" s="7"/>
      <c r="J10" s="7"/>
      <c r="K10" s="7"/>
      <c r="L10" s="7"/>
      <c r="M10" s="7"/>
    </row>
    <row r="11" spans="2:13" ht="15" customHeight="1" thickBot="1" x14ac:dyDescent="0.3">
      <c r="B11" s="49" t="s">
        <v>3</v>
      </c>
      <c r="C11" s="50"/>
      <c r="D11" s="50"/>
      <c r="E11" s="50"/>
      <c r="F11" s="50"/>
      <c r="G11" s="18">
        <f>G8/G10</f>
        <v>0.12784066666666666</v>
      </c>
      <c r="H11" s="8"/>
      <c r="I11" s="7"/>
      <c r="J11" s="7"/>
      <c r="K11" s="7"/>
      <c r="L11" s="7"/>
      <c r="M11" s="7"/>
    </row>
    <row r="12" spans="2:13" ht="14.4" thickTop="1" x14ac:dyDescent="0.2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2:13" x14ac:dyDescent="0.25">
      <c r="B13" s="41" t="s">
        <v>4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</row>
    <row r="14" spans="2:13" x14ac:dyDescent="0.25">
      <c r="B14" s="37" t="s">
        <v>5</v>
      </c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</row>
  </sheetData>
  <mergeCells count="7">
    <mergeCell ref="B14:M14"/>
    <mergeCell ref="B2:G2"/>
    <mergeCell ref="B13:M13"/>
    <mergeCell ref="B8:F8"/>
    <mergeCell ref="B9:F9"/>
    <mergeCell ref="B10:F10"/>
    <mergeCell ref="B11:F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404EF-BC28-415A-B4DA-058973C51F84}">
  <dimension ref="B1:M16"/>
  <sheetViews>
    <sheetView workbookViewId="0">
      <selection activeCell="B15" sqref="B15:M15"/>
    </sheetView>
  </sheetViews>
  <sheetFormatPr defaultRowHeight="13.8" x14ac:dyDescent="0.25"/>
  <cols>
    <col min="1" max="1" width="8.88671875" style="11"/>
    <col min="2" max="2" width="20.77734375" style="11" customWidth="1"/>
    <col min="3" max="4" width="12.77734375" style="11" customWidth="1"/>
    <col min="5" max="5" width="6.77734375" style="11" customWidth="1"/>
    <col min="6" max="7" width="12.77734375" style="11" customWidth="1"/>
    <col min="8" max="16384" width="8.88671875" style="11"/>
  </cols>
  <sheetData>
    <row r="1" spans="2:13" ht="14.4" thickBot="1" x14ac:dyDescent="0.3"/>
    <row r="2" spans="2:13" ht="18" thickBot="1" x14ac:dyDescent="0.3">
      <c r="B2" s="38" t="s">
        <v>10</v>
      </c>
      <c r="C2" s="39"/>
      <c r="D2" s="39"/>
      <c r="E2" s="39"/>
      <c r="F2" s="39"/>
      <c r="G2" s="40"/>
      <c r="H2" s="7"/>
      <c r="I2" s="7"/>
      <c r="J2" s="7"/>
      <c r="K2" s="7"/>
      <c r="L2" s="7"/>
      <c r="M2" s="7"/>
    </row>
    <row r="3" spans="2:13" ht="14.4" thickBot="1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2:13" ht="14.4" thickTop="1" x14ac:dyDescent="0.25">
      <c r="B4" s="6" t="s">
        <v>0</v>
      </c>
      <c r="C4" s="5" t="s">
        <v>1</v>
      </c>
      <c r="D4" s="12" t="s">
        <v>60</v>
      </c>
      <c r="E4" s="12" t="s">
        <v>61</v>
      </c>
      <c r="F4" s="12" t="s">
        <v>62</v>
      </c>
      <c r="G4" s="4" t="s">
        <v>63</v>
      </c>
      <c r="H4" s="7"/>
      <c r="I4" s="7"/>
      <c r="J4" s="7"/>
      <c r="K4" s="7"/>
      <c r="L4" s="7"/>
      <c r="M4" s="7"/>
    </row>
    <row r="5" spans="2:13" x14ac:dyDescent="0.25">
      <c r="B5" s="3" t="s">
        <v>51</v>
      </c>
      <c r="C5" s="14">
        <v>0.13</v>
      </c>
      <c r="D5" s="25">
        <v>23.490566037735846</v>
      </c>
      <c r="E5" s="32">
        <v>0.06</v>
      </c>
      <c r="F5" s="29">
        <f>D5+(D5*E5)</f>
        <v>24.899999999999995</v>
      </c>
      <c r="G5" s="20">
        <f>D5*C5</f>
        <v>3.05377358490566</v>
      </c>
      <c r="H5" s="7"/>
      <c r="I5" s="7"/>
      <c r="J5" s="7"/>
      <c r="K5" s="7"/>
      <c r="L5" s="7"/>
      <c r="M5" s="7"/>
    </row>
    <row r="6" spans="2:13" x14ac:dyDescent="0.25">
      <c r="B6" s="3" t="s">
        <v>37</v>
      </c>
      <c r="C6" s="14">
        <v>0.02</v>
      </c>
      <c r="D6" s="25">
        <v>2.65</v>
      </c>
      <c r="E6" s="32">
        <v>0.06</v>
      </c>
      <c r="F6" s="29">
        <f t="shared" ref="F6:F9" si="0">D6+(D6*E6)</f>
        <v>2.8089999999999997</v>
      </c>
      <c r="G6" s="20">
        <f t="shared" ref="G6:G9" si="1">D6*C6</f>
        <v>5.2999999999999999E-2</v>
      </c>
      <c r="H6" s="7"/>
      <c r="I6" s="7"/>
      <c r="J6" s="7"/>
      <c r="K6" s="7"/>
      <c r="L6" s="7"/>
      <c r="M6" s="7"/>
    </row>
    <row r="7" spans="2:13" x14ac:dyDescent="0.25">
      <c r="B7" s="2" t="s">
        <v>38</v>
      </c>
      <c r="C7" s="16">
        <v>5.0000000000000001E-3</v>
      </c>
      <c r="D7" s="26">
        <v>0.315</v>
      </c>
      <c r="E7" s="33">
        <v>0.06</v>
      </c>
      <c r="F7" s="29">
        <f t="shared" si="0"/>
        <v>0.33389999999999997</v>
      </c>
      <c r="G7" s="20">
        <f t="shared" si="1"/>
        <v>1.575E-3</v>
      </c>
      <c r="H7" s="7"/>
      <c r="I7" s="7"/>
      <c r="J7" s="7"/>
      <c r="K7" s="7"/>
      <c r="L7" s="7"/>
      <c r="M7" s="7"/>
    </row>
    <row r="8" spans="2:13" x14ac:dyDescent="0.25">
      <c r="B8" s="2" t="s">
        <v>40</v>
      </c>
      <c r="C8" s="16">
        <v>0.33</v>
      </c>
      <c r="D8" s="26">
        <v>0.11118598382749326</v>
      </c>
      <c r="E8" s="33">
        <v>0.06</v>
      </c>
      <c r="F8" s="29">
        <f t="shared" si="0"/>
        <v>0.11785714285714285</v>
      </c>
      <c r="G8" s="20">
        <f t="shared" si="1"/>
        <v>3.6691374663072776E-2</v>
      </c>
      <c r="H8" s="7"/>
      <c r="I8" s="7"/>
      <c r="J8" s="7"/>
      <c r="K8" s="7"/>
      <c r="L8" s="7"/>
      <c r="M8" s="7"/>
    </row>
    <row r="9" spans="2:13" ht="14.4" thickBot="1" x14ac:dyDescent="0.3">
      <c r="B9" s="2" t="s">
        <v>41</v>
      </c>
      <c r="C9" s="16">
        <v>0.06</v>
      </c>
      <c r="D9" s="26">
        <v>1.21356</v>
      </c>
      <c r="E9" s="33"/>
      <c r="F9" s="29">
        <f t="shared" si="0"/>
        <v>1.21356</v>
      </c>
      <c r="G9" s="20">
        <f t="shared" si="1"/>
        <v>7.2813599999999992E-2</v>
      </c>
      <c r="H9" s="7"/>
      <c r="I9" s="7"/>
      <c r="J9" s="7"/>
      <c r="K9" s="7"/>
      <c r="L9" s="7"/>
      <c r="M9" s="7"/>
    </row>
    <row r="10" spans="2:13" ht="14.4" thickTop="1" x14ac:dyDescent="0.25">
      <c r="B10" s="42" t="s">
        <v>18</v>
      </c>
      <c r="C10" s="43"/>
      <c r="D10" s="43"/>
      <c r="E10" s="43"/>
      <c r="F10" s="43"/>
      <c r="G10" s="23">
        <f>SUM(G5:G9)</f>
        <v>3.2178535595687325</v>
      </c>
      <c r="H10" s="7"/>
      <c r="I10" s="7"/>
      <c r="J10" s="7"/>
      <c r="K10" s="7"/>
      <c r="L10" s="7"/>
      <c r="M10" s="7"/>
    </row>
    <row r="11" spans="2:13" x14ac:dyDescent="0.25">
      <c r="B11" s="44" t="s">
        <v>2</v>
      </c>
      <c r="C11" s="45"/>
      <c r="D11" s="45"/>
      <c r="E11" s="45"/>
      <c r="F11" s="45"/>
      <c r="G11" s="24">
        <v>21</v>
      </c>
      <c r="H11" s="7"/>
      <c r="I11" s="7"/>
      <c r="J11" s="7"/>
      <c r="K11" s="7"/>
      <c r="L11" s="7"/>
      <c r="M11" s="7"/>
    </row>
    <row r="12" spans="2:13" x14ac:dyDescent="0.25">
      <c r="B12" s="46" t="s">
        <v>17</v>
      </c>
      <c r="C12" s="47"/>
      <c r="D12" s="47"/>
      <c r="E12" s="47"/>
      <c r="F12" s="48"/>
      <c r="G12" s="31">
        <f>G11/1.13</f>
        <v>18.584070796460178</v>
      </c>
      <c r="H12" s="7"/>
      <c r="I12" s="7"/>
      <c r="J12" s="7"/>
      <c r="K12" s="7"/>
      <c r="L12" s="7"/>
      <c r="M12" s="7"/>
    </row>
    <row r="13" spans="2:13" ht="15" customHeight="1" thickBot="1" x14ac:dyDescent="0.3">
      <c r="B13" s="49" t="s">
        <v>3</v>
      </c>
      <c r="C13" s="50"/>
      <c r="D13" s="50"/>
      <c r="E13" s="50"/>
      <c r="F13" s="50"/>
      <c r="G13" s="18">
        <f>G10/G12</f>
        <v>0.17315116772917463</v>
      </c>
      <c r="H13" s="8"/>
      <c r="I13" s="7"/>
      <c r="J13" s="7"/>
      <c r="K13" s="7"/>
      <c r="L13" s="7"/>
      <c r="M13" s="7"/>
    </row>
    <row r="14" spans="2:13" ht="14.4" thickTop="1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2:13" x14ac:dyDescent="0.25">
      <c r="B15" s="41" t="s">
        <v>4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</row>
    <row r="16" spans="2:13" x14ac:dyDescent="0.25">
      <c r="B16" s="37" t="s">
        <v>5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</row>
  </sheetData>
  <mergeCells count="7">
    <mergeCell ref="B16:M16"/>
    <mergeCell ref="B2:G2"/>
    <mergeCell ref="B15:M15"/>
    <mergeCell ref="B10:F10"/>
    <mergeCell ref="B11:F11"/>
    <mergeCell ref="B12:F12"/>
    <mergeCell ref="B13:F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F0C4E-F88D-47AE-B582-8E20B6F59EB7}">
  <dimension ref="B1:M17"/>
  <sheetViews>
    <sheetView workbookViewId="0">
      <selection activeCell="E5" sqref="E5:E10"/>
    </sheetView>
  </sheetViews>
  <sheetFormatPr defaultRowHeight="13.8" x14ac:dyDescent="0.25"/>
  <cols>
    <col min="1" max="1" width="8.88671875" style="11"/>
    <col min="2" max="2" width="20.77734375" style="11" customWidth="1"/>
    <col min="3" max="4" width="12.77734375" style="11" customWidth="1"/>
    <col min="5" max="5" width="6.77734375" style="11" customWidth="1"/>
    <col min="6" max="7" width="12.77734375" style="11" customWidth="1"/>
    <col min="8" max="16384" width="8.88671875" style="11"/>
  </cols>
  <sheetData>
    <row r="1" spans="2:13" ht="14.4" thickBot="1" x14ac:dyDescent="0.3"/>
    <row r="2" spans="2:13" ht="18" thickBot="1" x14ac:dyDescent="0.3">
      <c r="B2" s="38" t="s">
        <v>11</v>
      </c>
      <c r="C2" s="39"/>
      <c r="D2" s="39"/>
      <c r="E2" s="39"/>
      <c r="F2" s="39"/>
      <c r="G2" s="40"/>
      <c r="H2" s="7"/>
      <c r="I2" s="7"/>
      <c r="J2" s="7"/>
      <c r="K2" s="7"/>
      <c r="L2" s="7"/>
      <c r="M2" s="7"/>
    </row>
    <row r="3" spans="2:13" ht="14.4" thickBot="1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2:13" ht="14.4" thickTop="1" x14ac:dyDescent="0.25">
      <c r="B4" s="6" t="s">
        <v>0</v>
      </c>
      <c r="C4" s="5" t="s">
        <v>1</v>
      </c>
      <c r="D4" s="12" t="s">
        <v>60</v>
      </c>
      <c r="E4" s="12" t="s">
        <v>61</v>
      </c>
      <c r="F4" s="12" t="s">
        <v>62</v>
      </c>
      <c r="G4" s="4" t="s">
        <v>63</v>
      </c>
      <c r="H4" s="7"/>
      <c r="I4" s="7"/>
      <c r="J4" s="7"/>
      <c r="K4" s="7"/>
      <c r="L4" s="7"/>
      <c r="M4" s="7"/>
    </row>
    <row r="5" spans="2:13" x14ac:dyDescent="0.25">
      <c r="B5" s="3" t="s">
        <v>50</v>
      </c>
      <c r="C5" s="14">
        <v>1</v>
      </c>
      <c r="D5" s="25">
        <v>0.330188679245283</v>
      </c>
      <c r="E5" s="32">
        <v>0.06</v>
      </c>
      <c r="F5" s="29">
        <f>D5+(D5*E5)</f>
        <v>0.35</v>
      </c>
      <c r="G5" s="20">
        <f>D5*C5</f>
        <v>0.330188679245283</v>
      </c>
      <c r="H5" s="7"/>
      <c r="I5" s="7"/>
      <c r="J5" s="7"/>
      <c r="K5" s="7"/>
      <c r="L5" s="7"/>
      <c r="M5" s="7"/>
    </row>
    <row r="6" spans="2:13" x14ac:dyDescent="0.25">
      <c r="B6" s="3" t="s">
        <v>49</v>
      </c>
      <c r="C6" s="14">
        <v>0.13</v>
      </c>
      <c r="D6" s="25">
        <v>14.056603773584905</v>
      </c>
      <c r="E6" s="32">
        <v>0.06</v>
      </c>
      <c r="F6" s="29">
        <f t="shared" ref="F6:F10" si="0">D6+(D6*E6)</f>
        <v>14.9</v>
      </c>
      <c r="G6" s="20">
        <f t="shared" ref="G6:G10" si="1">D6*C6</f>
        <v>1.8273584905660378</v>
      </c>
      <c r="H6" s="7"/>
      <c r="I6" s="7"/>
      <c r="J6" s="7"/>
      <c r="K6" s="7"/>
      <c r="L6" s="7"/>
      <c r="M6" s="7"/>
    </row>
    <row r="7" spans="2:13" x14ac:dyDescent="0.25">
      <c r="B7" s="3" t="s">
        <v>48</v>
      </c>
      <c r="C7" s="14">
        <v>1</v>
      </c>
      <c r="D7" s="25">
        <v>0.55279999999999996</v>
      </c>
      <c r="E7" s="32"/>
      <c r="F7" s="29">
        <f t="shared" si="0"/>
        <v>0.55279999999999996</v>
      </c>
      <c r="G7" s="20">
        <f t="shared" si="1"/>
        <v>0.55279999999999996</v>
      </c>
      <c r="H7" s="7"/>
      <c r="I7" s="7"/>
      <c r="J7" s="7"/>
      <c r="K7" s="7"/>
      <c r="L7" s="7"/>
      <c r="M7" s="7"/>
    </row>
    <row r="8" spans="2:13" x14ac:dyDescent="0.25">
      <c r="B8" s="2" t="s">
        <v>38</v>
      </c>
      <c r="C8" s="16">
        <v>0.01</v>
      </c>
      <c r="D8" s="26">
        <v>0.315</v>
      </c>
      <c r="E8" s="33">
        <v>0.06</v>
      </c>
      <c r="F8" s="29">
        <f t="shared" si="0"/>
        <v>0.33389999999999997</v>
      </c>
      <c r="G8" s="20">
        <f t="shared" si="1"/>
        <v>3.15E-3</v>
      </c>
      <c r="H8" s="7"/>
      <c r="I8" s="7"/>
      <c r="J8" s="7"/>
      <c r="K8" s="7"/>
      <c r="L8" s="7"/>
      <c r="M8" s="7"/>
    </row>
    <row r="9" spans="2:13" x14ac:dyDescent="0.25">
      <c r="B9" s="1" t="s">
        <v>39</v>
      </c>
      <c r="C9" s="16">
        <v>5.0000000000000001E-3</v>
      </c>
      <c r="D9" s="26">
        <v>13.87</v>
      </c>
      <c r="E9" s="33">
        <v>0.06</v>
      </c>
      <c r="F9" s="29">
        <f t="shared" si="0"/>
        <v>14.702199999999999</v>
      </c>
      <c r="G9" s="20">
        <f t="shared" si="1"/>
        <v>6.9349999999999995E-2</v>
      </c>
      <c r="H9" s="7"/>
      <c r="I9" s="7"/>
      <c r="J9" s="7"/>
      <c r="K9" s="7"/>
      <c r="L9" s="7"/>
      <c r="M9" s="7"/>
    </row>
    <row r="10" spans="2:13" ht="14.4" thickBot="1" x14ac:dyDescent="0.3">
      <c r="B10" s="1" t="s">
        <v>16</v>
      </c>
      <c r="C10" s="16">
        <v>0.02</v>
      </c>
      <c r="D10" s="26">
        <v>2.98</v>
      </c>
      <c r="E10" s="33">
        <v>0.06</v>
      </c>
      <c r="F10" s="29">
        <f t="shared" si="0"/>
        <v>3.1587999999999998</v>
      </c>
      <c r="G10" s="20">
        <f t="shared" si="1"/>
        <v>5.96E-2</v>
      </c>
      <c r="H10" s="7"/>
      <c r="I10" s="7"/>
      <c r="J10" s="7"/>
      <c r="K10" s="7"/>
      <c r="L10" s="7"/>
      <c r="M10" s="7"/>
    </row>
    <row r="11" spans="2:13" ht="14.4" thickTop="1" x14ac:dyDescent="0.25">
      <c r="B11" s="42" t="s">
        <v>18</v>
      </c>
      <c r="C11" s="43"/>
      <c r="D11" s="43"/>
      <c r="E11" s="43"/>
      <c r="F11" s="43"/>
      <c r="G11" s="23">
        <f>SUM(G5:G10)</f>
        <v>2.842447169811321</v>
      </c>
      <c r="H11" s="7"/>
      <c r="I11" s="7"/>
      <c r="J11" s="7"/>
      <c r="K11" s="7"/>
      <c r="L11" s="7"/>
      <c r="M11" s="7"/>
    </row>
    <row r="12" spans="2:13" x14ac:dyDescent="0.25">
      <c r="B12" s="44" t="s">
        <v>2</v>
      </c>
      <c r="C12" s="45"/>
      <c r="D12" s="45"/>
      <c r="E12" s="45"/>
      <c r="F12" s="45"/>
      <c r="G12" s="24">
        <v>12</v>
      </c>
      <c r="H12" s="7"/>
      <c r="I12" s="7"/>
      <c r="J12" s="7"/>
      <c r="K12" s="7"/>
      <c r="L12" s="7"/>
      <c r="M12" s="7"/>
    </row>
    <row r="13" spans="2:13" x14ac:dyDescent="0.25">
      <c r="B13" s="46" t="s">
        <v>17</v>
      </c>
      <c r="C13" s="47"/>
      <c r="D13" s="47"/>
      <c r="E13" s="47"/>
      <c r="F13" s="48"/>
      <c r="G13" s="31">
        <f>G12/1.13</f>
        <v>10.619469026548673</v>
      </c>
      <c r="H13" s="7"/>
      <c r="I13" s="7"/>
      <c r="J13" s="7"/>
      <c r="K13" s="7"/>
      <c r="L13" s="7"/>
      <c r="M13" s="7"/>
    </row>
    <row r="14" spans="2:13" ht="15" customHeight="1" thickBot="1" x14ac:dyDescent="0.3">
      <c r="B14" s="49" t="s">
        <v>3</v>
      </c>
      <c r="C14" s="50"/>
      <c r="D14" s="50"/>
      <c r="E14" s="50"/>
      <c r="F14" s="50"/>
      <c r="G14" s="18">
        <f>G11/G13</f>
        <v>0.26766377515723272</v>
      </c>
      <c r="H14" s="8"/>
      <c r="I14" s="7"/>
      <c r="J14" s="7"/>
      <c r="K14" s="7"/>
      <c r="L14" s="7"/>
      <c r="M14" s="7"/>
    </row>
    <row r="15" spans="2:13" ht="14.4" thickTop="1" x14ac:dyDescent="0.2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2:13" x14ac:dyDescent="0.25">
      <c r="B16" s="41" t="s">
        <v>4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</row>
    <row r="17" spans="2:13" x14ac:dyDescent="0.25">
      <c r="B17" s="37" t="s">
        <v>5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</row>
  </sheetData>
  <mergeCells count="7">
    <mergeCell ref="B17:M17"/>
    <mergeCell ref="B2:G2"/>
    <mergeCell ref="B16:M16"/>
    <mergeCell ref="B11:F11"/>
    <mergeCell ref="B12:F12"/>
    <mergeCell ref="B13:F13"/>
    <mergeCell ref="B14:F1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B0895-3936-4673-BA7C-ACF4BC15806D}">
  <dimension ref="B1:M16"/>
  <sheetViews>
    <sheetView workbookViewId="0">
      <selection activeCell="J14" sqref="J14"/>
    </sheetView>
  </sheetViews>
  <sheetFormatPr defaultRowHeight="13.8" x14ac:dyDescent="0.25"/>
  <cols>
    <col min="1" max="1" width="8.88671875" style="11"/>
    <col min="2" max="2" width="20.77734375" style="11" customWidth="1"/>
    <col min="3" max="4" width="12.77734375" style="11" customWidth="1"/>
    <col min="5" max="5" width="6.77734375" style="11" customWidth="1"/>
    <col min="6" max="7" width="12.77734375" style="11" customWidth="1"/>
    <col min="8" max="16384" width="8.88671875" style="11"/>
  </cols>
  <sheetData>
    <row r="1" spans="2:13" ht="14.4" thickBot="1" x14ac:dyDescent="0.3"/>
    <row r="2" spans="2:13" ht="18" thickBot="1" x14ac:dyDescent="0.3">
      <c r="B2" s="38" t="s">
        <v>12</v>
      </c>
      <c r="C2" s="39"/>
      <c r="D2" s="39"/>
      <c r="E2" s="39"/>
      <c r="F2" s="39"/>
      <c r="G2" s="40"/>
      <c r="H2" s="7"/>
      <c r="I2" s="7"/>
      <c r="J2" s="7"/>
      <c r="K2" s="7"/>
      <c r="L2" s="7"/>
      <c r="M2" s="7"/>
    </row>
    <row r="3" spans="2:13" ht="14.4" thickBot="1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2:13" ht="14.4" thickTop="1" x14ac:dyDescent="0.25">
      <c r="B4" s="6" t="s">
        <v>0</v>
      </c>
      <c r="C4" s="5" t="s">
        <v>1</v>
      </c>
      <c r="D4" s="12" t="s">
        <v>60</v>
      </c>
      <c r="E4" s="12" t="s">
        <v>61</v>
      </c>
      <c r="F4" s="12" t="s">
        <v>62</v>
      </c>
      <c r="G4" s="4" t="s">
        <v>63</v>
      </c>
      <c r="H4" s="7"/>
      <c r="I4" s="7"/>
      <c r="J4" s="7"/>
      <c r="K4" s="7"/>
      <c r="L4" s="7"/>
      <c r="M4" s="7"/>
    </row>
    <row r="5" spans="2:13" x14ac:dyDescent="0.25">
      <c r="B5" s="3" t="s">
        <v>52</v>
      </c>
      <c r="C5" s="14">
        <v>0.16</v>
      </c>
      <c r="D5" s="27">
        <v>14</v>
      </c>
      <c r="E5" s="34">
        <v>0.06</v>
      </c>
      <c r="F5" s="25">
        <f>D5+(D5*E5)</f>
        <v>14.84</v>
      </c>
      <c r="G5" s="20">
        <f>D5*C5</f>
        <v>2.2400000000000002</v>
      </c>
      <c r="H5" s="7"/>
      <c r="I5" s="7"/>
      <c r="J5" s="7"/>
      <c r="K5" s="7"/>
      <c r="L5" s="7"/>
      <c r="M5" s="7"/>
    </row>
    <row r="6" spans="2:13" x14ac:dyDescent="0.25">
      <c r="B6" s="3" t="s">
        <v>16</v>
      </c>
      <c r="C6" s="14">
        <v>0.02</v>
      </c>
      <c r="D6" s="27">
        <v>2.98</v>
      </c>
      <c r="E6" s="34">
        <v>0.06</v>
      </c>
      <c r="F6" s="25">
        <f t="shared" ref="F6:F9" si="0">D6+(D6*E6)</f>
        <v>3.1587999999999998</v>
      </c>
      <c r="G6" s="20">
        <f t="shared" ref="G6:G9" si="1">D6*C6</f>
        <v>5.96E-2</v>
      </c>
      <c r="H6" s="7"/>
      <c r="I6" s="7"/>
      <c r="J6" s="7"/>
      <c r="K6" s="7"/>
      <c r="L6" s="7"/>
      <c r="M6" s="7"/>
    </row>
    <row r="7" spans="2:13" x14ac:dyDescent="0.25">
      <c r="B7" s="3" t="s">
        <v>38</v>
      </c>
      <c r="C7" s="14">
        <v>0.01</v>
      </c>
      <c r="D7" s="27">
        <v>0.315</v>
      </c>
      <c r="E7" s="34">
        <v>0.06</v>
      </c>
      <c r="F7" s="25">
        <f t="shared" si="0"/>
        <v>0.33389999999999997</v>
      </c>
      <c r="G7" s="20">
        <f t="shared" si="1"/>
        <v>3.15E-3</v>
      </c>
      <c r="H7" s="7"/>
      <c r="I7" s="7"/>
      <c r="J7" s="7"/>
      <c r="K7" s="7"/>
      <c r="L7" s="7"/>
      <c r="M7" s="7"/>
    </row>
    <row r="8" spans="2:13" x14ac:dyDescent="0.25">
      <c r="B8" s="3" t="s">
        <v>42</v>
      </c>
      <c r="C8" s="14">
        <v>1</v>
      </c>
      <c r="D8" s="27">
        <v>0.80188679245283012</v>
      </c>
      <c r="E8" s="34">
        <v>0.23</v>
      </c>
      <c r="F8" s="25">
        <f t="shared" si="0"/>
        <v>0.986320754716981</v>
      </c>
      <c r="G8" s="20">
        <f t="shared" si="1"/>
        <v>0.80188679245283012</v>
      </c>
      <c r="H8" s="7"/>
      <c r="I8" s="7"/>
      <c r="J8" s="7"/>
      <c r="K8" s="7"/>
      <c r="L8" s="7"/>
      <c r="M8" s="7"/>
    </row>
    <row r="9" spans="2:13" ht="14.4" thickBot="1" x14ac:dyDescent="0.3">
      <c r="B9" s="3" t="s">
        <v>48</v>
      </c>
      <c r="C9" s="16">
        <v>1</v>
      </c>
      <c r="D9" s="28">
        <v>0.55279999999999996</v>
      </c>
      <c r="E9" s="35"/>
      <c r="F9" s="25">
        <f t="shared" si="0"/>
        <v>0.55279999999999996</v>
      </c>
      <c r="G9" s="20">
        <f t="shared" si="1"/>
        <v>0.55279999999999996</v>
      </c>
      <c r="H9" s="7"/>
      <c r="I9" s="7"/>
      <c r="J9" s="7"/>
      <c r="K9" s="7"/>
      <c r="L9" s="7"/>
      <c r="M9" s="7"/>
    </row>
    <row r="10" spans="2:13" ht="14.4" thickTop="1" x14ac:dyDescent="0.25">
      <c r="B10" s="42" t="s">
        <v>18</v>
      </c>
      <c r="C10" s="43"/>
      <c r="D10" s="43"/>
      <c r="E10" s="43"/>
      <c r="F10" s="43"/>
      <c r="G10" s="23">
        <f>SUM(G5:G9)</f>
        <v>3.6574367924528306</v>
      </c>
      <c r="H10" s="7"/>
      <c r="I10" s="7"/>
      <c r="J10" s="7"/>
      <c r="K10" s="7"/>
      <c r="L10" s="7"/>
      <c r="M10" s="7"/>
    </row>
    <row r="11" spans="2:13" ht="14.4" customHeight="1" x14ac:dyDescent="0.25">
      <c r="B11" s="44" t="s">
        <v>2</v>
      </c>
      <c r="C11" s="45"/>
      <c r="D11" s="45"/>
      <c r="E11" s="45"/>
      <c r="F11" s="45"/>
      <c r="G11" s="24">
        <v>12</v>
      </c>
      <c r="H11" s="7"/>
      <c r="I11" s="7"/>
      <c r="J11" s="7"/>
      <c r="K11" s="7"/>
      <c r="L11" s="7"/>
      <c r="M11" s="7"/>
    </row>
    <row r="12" spans="2:13" ht="14.4" customHeight="1" x14ac:dyDescent="0.25">
      <c r="B12" s="46" t="s">
        <v>17</v>
      </c>
      <c r="C12" s="47"/>
      <c r="D12" s="47"/>
      <c r="E12" s="47"/>
      <c r="F12" s="48"/>
      <c r="G12" s="31">
        <f>G11/1.13</f>
        <v>10.619469026548673</v>
      </c>
      <c r="H12" s="7"/>
      <c r="I12" s="7"/>
      <c r="J12" s="7"/>
      <c r="K12" s="7"/>
      <c r="L12" s="7"/>
      <c r="M12" s="7"/>
    </row>
    <row r="13" spans="2:13" ht="15" customHeight="1" thickBot="1" x14ac:dyDescent="0.3">
      <c r="B13" s="49" t="s">
        <v>3</v>
      </c>
      <c r="C13" s="50"/>
      <c r="D13" s="50"/>
      <c r="E13" s="50"/>
      <c r="F13" s="50"/>
      <c r="G13" s="18">
        <f>G10/G12</f>
        <v>0.34440863128930821</v>
      </c>
      <c r="H13" s="8"/>
      <c r="I13" s="7"/>
      <c r="J13" s="7"/>
      <c r="K13" s="7"/>
      <c r="L13" s="7"/>
      <c r="M13" s="7"/>
    </row>
    <row r="14" spans="2:13" ht="14.4" thickTop="1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2:13" x14ac:dyDescent="0.25">
      <c r="B15" s="41" t="s">
        <v>4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</row>
    <row r="16" spans="2:13" x14ac:dyDescent="0.25">
      <c r="B16" s="37" t="s">
        <v>5</v>
      </c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</row>
  </sheetData>
  <mergeCells count="7">
    <mergeCell ref="B16:M16"/>
    <mergeCell ref="B2:G2"/>
    <mergeCell ref="B15:M15"/>
    <mergeCell ref="B10:F10"/>
    <mergeCell ref="B11:F11"/>
    <mergeCell ref="B12:F12"/>
    <mergeCell ref="B13:F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B48F5-0507-48D8-9229-8D8E100B4CCE}">
  <dimension ref="B1:I17"/>
  <sheetViews>
    <sheetView workbookViewId="0">
      <selection activeCell="G14" sqref="G14"/>
    </sheetView>
  </sheetViews>
  <sheetFormatPr defaultRowHeight="13.8" x14ac:dyDescent="0.25"/>
  <cols>
    <col min="1" max="1" width="8.88671875" style="11"/>
    <col min="2" max="2" width="20.77734375" style="11" customWidth="1"/>
    <col min="3" max="4" width="12.77734375" style="11" customWidth="1"/>
    <col min="5" max="5" width="6.77734375" style="11" customWidth="1"/>
    <col min="6" max="7" width="12.77734375" style="11" customWidth="1"/>
    <col min="8" max="16384" width="8.88671875" style="11"/>
  </cols>
  <sheetData>
    <row r="1" spans="2:9" ht="14.4" thickBot="1" x14ac:dyDescent="0.3"/>
    <row r="2" spans="2:9" ht="18" thickBot="1" x14ac:dyDescent="0.3">
      <c r="B2" s="38" t="s">
        <v>13</v>
      </c>
      <c r="C2" s="39"/>
      <c r="D2" s="39"/>
      <c r="E2" s="39"/>
      <c r="F2" s="39"/>
      <c r="G2" s="40"/>
      <c r="H2" s="7"/>
      <c r="I2" s="7"/>
    </row>
    <row r="3" spans="2:9" ht="14.4" thickBot="1" x14ac:dyDescent="0.3">
      <c r="B3" s="7"/>
      <c r="C3" s="7"/>
      <c r="D3" s="7"/>
      <c r="E3" s="7"/>
      <c r="F3" s="7"/>
      <c r="G3" s="7"/>
      <c r="H3" s="7"/>
      <c r="I3" s="7"/>
    </row>
    <row r="4" spans="2:9" ht="14.4" thickTop="1" x14ac:dyDescent="0.25">
      <c r="B4" s="6" t="s">
        <v>0</v>
      </c>
      <c r="C4" s="5" t="s">
        <v>1</v>
      </c>
      <c r="D4" s="12" t="s">
        <v>60</v>
      </c>
      <c r="E4" s="12" t="s">
        <v>61</v>
      </c>
      <c r="F4" s="12" t="s">
        <v>62</v>
      </c>
      <c r="G4" s="4" t="s">
        <v>63</v>
      </c>
      <c r="H4" s="7"/>
      <c r="I4" s="7"/>
    </row>
    <row r="5" spans="2:9" x14ac:dyDescent="0.25">
      <c r="B5" s="3" t="s">
        <v>21</v>
      </c>
      <c r="C5" s="14">
        <v>0.15</v>
      </c>
      <c r="D5" s="25">
        <v>7.22</v>
      </c>
      <c r="E5" s="32">
        <v>0.23</v>
      </c>
      <c r="F5" s="29">
        <f>D5+(D5*E5)</f>
        <v>8.8805999999999994</v>
      </c>
      <c r="G5" s="20">
        <f>C5*D5</f>
        <v>1.083</v>
      </c>
      <c r="H5" s="7"/>
      <c r="I5" s="7"/>
    </row>
    <row r="6" spans="2:9" x14ac:dyDescent="0.25">
      <c r="B6" s="3" t="s">
        <v>59</v>
      </c>
      <c r="C6" s="14">
        <v>7.4999999999999997E-2</v>
      </c>
      <c r="D6" s="25">
        <v>5.13</v>
      </c>
      <c r="E6" s="32">
        <v>0.23</v>
      </c>
      <c r="F6" s="29">
        <f t="shared" ref="F6:F10" si="0">D6+(D6*E6)</f>
        <v>6.3098999999999998</v>
      </c>
      <c r="G6" s="20">
        <f t="shared" ref="G6:G10" si="1">C6*D6</f>
        <v>0.38474999999999998</v>
      </c>
      <c r="H6" s="7"/>
      <c r="I6" s="7"/>
    </row>
    <row r="7" spans="2:9" x14ac:dyDescent="0.25">
      <c r="B7" s="3" t="s">
        <v>22</v>
      </c>
      <c r="C7" s="14">
        <v>8.5000000000000006E-2</v>
      </c>
      <c r="D7" s="25">
        <v>4.1494</v>
      </c>
      <c r="E7" s="32"/>
      <c r="F7" s="29">
        <f t="shared" si="0"/>
        <v>4.1494</v>
      </c>
      <c r="G7" s="20">
        <f t="shared" si="1"/>
        <v>0.35269900000000004</v>
      </c>
      <c r="H7" s="7"/>
      <c r="I7" s="7"/>
    </row>
    <row r="8" spans="2:9" x14ac:dyDescent="0.25">
      <c r="B8" s="3" t="s">
        <v>23</v>
      </c>
      <c r="C8" s="14">
        <v>0.03</v>
      </c>
      <c r="D8" s="25">
        <v>2.0848999999999998</v>
      </c>
      <c r="E8" s="32"/>
      <c r="F8" s="29">
        <f t="shared" si="0"/>
        <v>2.0848999999999998</v>
      </c>
      <c r="G8" s="20">
        <f t="shared" si="1"/>
        <v>6.2546999999999991E-2</v>
      </c>
      <c r="H8" s="7"/>
      <c r="I8" s="7"/>
    </row>
    <row r="9" spans="2:9" x14ac:dyDescent="0.25">
      <c r="B9" s="2" t="s">
        <v>24</v>
      </c>
      <c r="C9" s="16">
        <v>6.0000000000000001E-3</v>
      </c>
      <c r="D9" s="26">
        <v>3.18</v>
      </c>
      <c r="E9" s="33">
        <v>0.06</v>
      </c>
      <c r="F9" s="29">
        <f t="shared" si="0"/>
        <v>3.3708</v>
      </c>
      <c r="G9" s="20">
        <f t="shared" si="1"/>
        <v>1.908E-2</v>
      </c>
      <c r="H9" s="7"/>
      <c r="I9" s="7"/>
    </row>
    <row r="10" spans="2:9" ht="14.4" thickBot="1" x14ac:dyDescent="0.3">
      <c r="B10" s="1" t="s">
        <v>28</v>
      </c>
      <c r="C10" s="16">
        <v>0.05</v>
      </c>
      <c r="D10" s="26">
        <v>3.8</v>
      </c>
      <c r="E10" s="33">
        <v>0.06</v>
      </c>
      <c r="F10" s="29">
        <f t="shared" si="0"/>
        <v>4.0279999999999996</v>
      </c>
      <c r="G10" s="20">
        <f t="shared" si="1"/>
        <v>0.19</v>
      </c>
      <c r="H10" s="7"/>
      <c r="I10" s="7"/>
    </row>
    <row r="11" spans="2:9" ht="14.4" thickTop="1" x14ac:dyDescent="0.25">
      <c r="B11" s="42" t="s">
        <v>18</v>
      </c>
      <c r="C11" s="43"/>
      <c r="D11" s="43"/>
      <c r="E11" s="43"/>
      <c r="F11" s="43"/>
      <c r="G11" s="23">
        <f>SUM(G5:G10)</f>
        <v>2.092076</v>
      </c>
      <c r="H11" s="7"/>
      <c r="I11" s="7"/>
    </row>
    <row r="12" spans="2:9" x14ac:dyDescent="0.25">
      <c r="B12" s="44" t="s">
        <v>2</v>
      </c>
      <c r="C12" s="45"/>
      <c r="D12" s="45"/>
      <c r="E12" s="45"/>
      <c r="F12" s="45"/>
      <c r="G12" s="24">
        <v>8</v>
      </c>
      <c r="H12" s="7"/>
      <c r="I12" s="7"/>
    </row>
    <row r="13" spans="2:9" x14ac:dyDescent="0.25">
      <c r="B13" s="46" t="s">
        <v>17</v>
      </c>
      <c r="C13" s="47"/>
      <c r="D13" s="47"/>
      <c r="E13" s="47"/>
      <c r="F13" s="48"/>
      <c r="G13" s="31">
        <f>G12/1.13</f>
        <v>7.0796460176991154</v>
      </c>
      <c r="H13" s="7"/>
      <c r="I13" s="7"/>
    </row>
    <row r="14" spans="2:9" ht="15" customHeight="1" thickBot="1" x14ac:dyDescent="0.3">
      <c r="B14" s="49" t="s">
        <v>3</v>
      </c>
      <c r="C14" s="50"/>
      <c r="D14" s="50"/>
      <c r="E14" s="50"/>
      <c r="F14" s="50"/>
      <c r="G14" s="18">
        <f>G11/G13</f>
        <v>0.29550573499999999</v>
      </c>
      <c r="H14" s="8"/>
      <c r="I14" s="7"/>
    </row>
    <row r="15" spans="2:9" ht="14.4" thickTop="1" x14ac:dyDescent="0.25">
      <c r="B15" s="7"/>
      <c r="C15" s="7"/>
      <c r="D15" s="7"/>
      <c r="E15" s="7"/>
      <c r="F15" s="7"/>
      <c r="G15" s="7"/>
      <c r="H15" s="7"/>
      <c r="I15" s="7"/>
    </row>
    <row r="16" spans="2:9" x14ac:dyDescent="0.25">
      <c r="B16" s="41" t="s">
        <v>4</v>
      </c>
      <c r="C16" s="41"/>
      <c r="D16" s="41"/>
      <c r="E16" s="41"/>
      <c r="F16" s="41"/>
      <c r="G16" s="41"/>
      <c r="H16" s="9"/>
      <c r="I16" s="9"/>
    </row>
    <row r="17" spans="2:9" x14ac:dyDescent="0.25">
      <c r="B17" s="37" t="s">
        <v>5</v>
      </c>
      <c r="C17" s="37"/>
      <c r="D17" s="37"/>
      <c r="E17" s="37"/>
      <c r="F17" s="37"/>
      <c r="G17" s="37"/>
      <c r="H17" s="10"/>
      <c r="I17" s="10"/>
    </row>
  </sheetData>
  <mergeCells count="7">
    <mergeCell ref="B16:G16"/>
    <mergeCell ref="B17:G17"/>
    <mergeCell ref="B2:G2"/>
    <mergeCell ref="B11:F11"/>
    <mergeCell ref="B12:F12"/>
    <mergeCell ref="B13:F13"/>
    <mergeCell ref="B14:F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7DE75-CA57-47A4-BD00-E3B5F65DA1DE}">
  <dimension ref="B1:M20"/>
  <sheetViews>
    <sheetView workbookViewId="0">
      <selection activeCell="C5" sqref="C5"/>
    </sheetView>
  </sheetViews>
  <sheetFormatPr defaultRowHeight="13.8" x14ac:dyDescent="0.25"/>
  <cols>
    <col min="1" max="1" width="8.88671875" style="11"/>
    <col min="2" max="2" width="20.77734375" style="11" customWidth="1"/>
    <col min="3" max="4" width="12.77734375" style="11" customWidth="1"/>
    <col min="5" max="5" width="6.77734375" style="11" customWidth="1"/>
    <col min="6" max="7" width="12.77734375" style="11" customWidth="1"/>
    <col min="8" max="16384" width="8.88671875" style="11"/>
  </cols>
  <sheetData>
    <row r="1" spans="2:13" ht="14.4" thickBot="1" x14ac:dyDescent="0.3"/>
    <row r="2" spans="2:13" ht="18" thickBot="1" x14ac:dyDescent="0.3">
      <c r="B2" s="38" t="s">
        <v>14</v>
      </c>
      <c r="C2" s="39"/>
      <c r="D2" s="39"/>
      <c r="E2" s="39"/>
      <c r="F2" s="39"/>
      <c r="G2" s="40"/>
      <c r="H2" s="7"/>
      <c r="I2" s="7"/>
      <c r="J2" s="7"/>
      <c r="K2" s="7"/>
      <c r="L2" s="7"/>
      <c r="M2" s="7"/>
    </row>
    <row r="3" spans="2:13" ht="14.4" thickBot="1" x14ac:dyDescent="0.3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2:13" ht="14.4" thickTop="1" x14ac:dyDescent="0.25">
      <c r="B4" s="6" t="s">
        <v>0</v>
      </c>
      <c r="C4" s="5" t="s">
        <v>1</v>
      </c>
      <c r="D4" s="12" t="s">
        <v>60</v>
      </c>
      <c r="E4" s="12" t="s">
        <v>61</v>
      </c>
      <c r="F4" s="12" t="s">
        <v>62</v>
      </c>
      <c r="G4" s="4" t="s">
        <v>63</v>
      </c>
      <c r="H4" s="7"/>
      <c r="I4" s="7"/>
      <c r="J4" s="7"/>
      <c r="K4" s="7"/>
      <c r="L4" s="7"/>
      <c r="M4" s="7"/>
    </row>
    <row r="5" spans="2:13" x14ac:dyDescent="0.25">
      <c r="B5" s="3" t="s">
        <v>43</v>
      </c>
      <c r="C5" s="14">
        <v>0.08</v>
      </c>
      <c r="D5" s="27">
        <v>1.6</v>
      </c>
      <c r="E5" s="34">
        <v>0.06</v>
      </c>
      <c r="F5" s="25">
        <f>D5+(D5*E5)</f>
        <v>1.6960000000000002</v>
      </c>
      <c r="G5" s="20">
        <f>D5*C5</f>
        <v>0.128</v>
      </c>
      <c r="H5" s="7"/>
      <c r="I5" s="7"/>
      <c r="J5" s="7"/>
      <c r="K5" s="7"/>
      <c r="L5" s="7"/>
      <c r="M5" s="7"/>
    </row>
    <row r="6" spans="2:13" x14ac:dyDescent="0.25">
      <c r="B6" s="3" t="s">
        <v>44</v>
      </c>
      <c r="C6" s="14">
        <v>0.1</v>
      </c>
      <c r="D6" s="27">
        <v>0.85</v>
      </c>
      <c r="E6" s="34">
        <v>0.06</v>
      </c>
      <c r="F6" s="25">
        <f t="shared" ref="F6:F13" si="0">D6+(D6*E6)</f>
        <v>0.90100000000000002</v>
      </c>
      <c r="G6" s="20">
        <f t="shared" ref="G6:G13" si="1">D6*C6</f>
        <v>8.5000000000000006E-2</v>
      </c>
      <c r="H6" s="7"/>
      <c r="I6" s="7"/>
      <c r="J6" s="7"/>
      <c r="K6" s="7"/>
      <c r="L6" s="7"/>
      <c r="M6" s="7"/>
    </row>
    <row r="7" spans="2:13" x14ac:dyDescent="0.25">
      <c r="B7" s="3" t="s">
        <v>45</v>
      </c>
      <c r="C7" s="14">
        <v>0.04</v>
      </c>
      <c r="D7" s="27">
        <v>0.8</v>
      </c>
      <c r="E7" s="34">
        <v>0.06</v>
      </c>
      <c r="F7" s="25">
        <f t="shared" si="0"/>
        <v>0.84800000000000009</v>
      </c>
      <c r="G7" s="20">
        <f t="shared" si="1"/>
        <v>3.2000000000000001E-2</v>
      </c>
      <c r="H7" s="7"/>
      <c r="I7" s="7"/>
      <c r="J7" s="7"/>
      <c r="K7" s="7"/>
      <c r="L7" s="7"/>
      <c r="M7" s="7"/>
    </row>
    <row r="8" spans="2:13" x14ac:dyDescent="0.25">
      <c r="B8" s="3" t="s">
        <v>46</v>
      </c>
      <c r="C8" s="14">
        <v>0.1</v>
      </c>
      <c r="D8" s="27">
        <v>1.1000000000000001</v>
      </c>
      <c r="E8" s="34">
        <v>0.06</v>
      </c>
      <c r="F8" s="25">
        <f t="shared" si="0"/>
        <v>1.1660000000000001</v>
      </c>
      <c r="G8" s="20">
        <f t="shared" si="1"/>
        <v>0.11000000000000001</v>
      </c>
      <c r="H8" s="7"/>
      <c r="I8" s="7"/>
      <c r="J8" s="7"/>
      <c r="K8" s="7"/>
      <c r="L8" s="7"/>
      <c r="M8" s="7"/>
    </row>
    <row r="9" spans="2:13" x14ac:dyDescent="0.25">
      <c r="B9" s="3" t="s">
        <v>15</v>
      </c>
      <c r="C9" s="14">
        <v>2E-3</v>
      </c>
      <c r="D9" s="27">
        <v>5.38</v>
      </c>
      <c r="E9" s="34">
        <v>0.06</v>
      </c>
      <c r="F9" s="25">
        <f t="shared" si="0"/>
        <v>5.7027999999999999</v>
      </c>
      <c r="G9" s="20">
        <f t="shared" si="1"/>
        <v>1.076E-2</v>
      </c>
      <c r="H9" s="7"/>
      <c r="I9" s="7"/>
      <c r="J9" s="7"/>
      <c r="K9" s="7"/>
      <c r="L9" s="7"/>
      <c r="M9" s="7"/>
    </row>
    <row r="10" spans="2:13" x14ac:dyDescent="0.25">
      <c r="B10" s="3" t="s">
        <v>27</v>
      </c>
      <c r="C10" s="14">
        <v>2E-3</v>
      </c>
      <c r="D10" s="27">
        <v>5.8</v>
      </c>
      <c r="E10" s="34">
        <v>0.06</v>
      </c>
      <c r="F10" s="25">
        <f t="shared" si="0"/>
        <v>6.1479999999999997</v>
      </c>
      <c r="G10" s="20">
        <f t="shared" si="1"/>
        <v>1.1599999999999999E-2</v>
      </c>
      <c r="H10" s="7"/>
      <c r="I10" s="7"/>
      <c r="J10" s="7"/>
      <c r="K10" s="7"/>
      <c r="L10" s="7"/>
      <c r="M10" s="7"/>
    </row>
    <row r="11" spans="2:13" x14ac:dyDescent="0.25">
      <c r="B11" s="3" t="s">
        <v>38</v>
      </c>
      <c r="C11" s="14">
        <v>2E-3</v>
      </c>
      <c r="D11" s="27">
        <v>0.315</v>
      </c>
      <c r="E11" s="34">
        <v>0.06</v>
      </c>
      <c r="F11" s="25">
        <f t="shared" si="0"/>
        <v>0.33389999999999997</v>
      </c>
      <c r="G11" s="20">
        <f t="shared" si="1"/>
        <v>6.3000000000000003E-4</v>
      </c>
      <c r="H11" s="7"/>
      <c r="I11" s="7"/>
      <c r="J11" s="7"/>
      <c r="K11" s="7"/>
      <c r="L11" s="7"/>
      <c r="M11" s="7"/>
    </row>
    <row r="12" spans="2:13" x14ac:dyDescent="0.25">
      <c r="B12" s="3" t="s">
        <v>47</v>
      </c>
      <c r="C12" s="14">
        <v>1E-3</v>
      </c>
      <c r="D12" s="27">
        <v>5.9850000000000003</v>
      </c>
      <c r="E12" s="34">
        <v>0.23</v>
      </c>
      <c r="F12" s="25">
        <f t="shared" si="0"/>
        <v>7.3615500000000003</v>
      </c>
      <c r="G12" s="20">
        <f t="shared" si="1"/>
        <v>5.9850000000000007E-3</v>
      </c>
      <c r="H12" s="7"/>
      <c r="I12" s="7"/>
      <c r="J12" s="7"/>
      <c r="K12" s="7"/>
      <c r="L12" s="7"/>
      <c r="M12" s="7"/>
    </row>
    <row r="13" spans="2:13" ht="14.4" thickBot="1" x14ac:dyDescent="0.3">
      <c r="B13" s="2" t="s">
        <v>16</v>
      </c>
      <c r="C13" s="16">
        <v>0.01</v>
      </c>
      <c r="D13" s="28">
        <v>2.98</v>
      </c>
      <c r="E13" s="35">
        <v>0.06</v>
      </c>
      <c r="F13" s="25">
        <f t="shared" si="0"/>
        <v>3.1587999999999998</v>
      </c>
      <c r="G13" s="20">
        <f t="shared" si="1"/>
        <v>2.98E-2</v>
      </c>
      <c r="H13" s="7"/>
      <c r="I13" s="7"/>
      <c r="J13" s="7"/>
      <c r="K13" s="7"/>
      <c r="L13" s="7"/>
      <c r="M13" s="7"/>
    </row>
    <row r="14" spans="2:13" ht="14.4" thickTop="1" x14ac:dyDescent="0.25">
      <c r="B14" s="42" t="s">
        <v>18</v>
      </c>
      <c r="C14" s="43"/>
      <c r="D14" s="43"/>
      <c r="E14" s="43"/>
      <c r="F14" s="43"/>
      <c r="G14" s="23">
        <f>SUM(G5:G13)</f>
        <v>0.41377500000000006</v>
      </c>
      <c r="H14" s="7"/>
      <c r="I14" s="7" t="inlineStr">
        <is>
          <t xml:space="preserve">Rendimento (doses)</t>
        </is>
      </c>
      <c r="J14" s="7">
        <v>50</v>
      </c>
      <c r="K14" s="7"/>
      <c r="L14" s="7"/>
      <c r="M14" s="7"/>
    </row>
    <row r="15" spans="2:13" x14ac:dyDescent="0.25">
      <c r="B15" s="44" t="s">
        <v>2</v>
      </c>
      <c r="C15" s="45"/>
      <c r="D15" s="45"/>
      <c r="E15" s="45"/>
      <c r="F15" s="45"/>
      <c r="G15" s="24">
        <v>3.5</v>
      </c>
      <c r="H15" s="7"/>
      <c r="I15" s="7" t="inlineStr">
        <is>
          <t xml:space="preserve">Custo por dose s/IVA</t>
        </is>
      </c>
      <c r="J15" s="36">
        <f>G14/J14</f>
        <v>0.008275500000000002</v>
      </c>
      <c r="K15" s="7"/>
      <c r="L15" s="7"/>
      <c r="M15" s="7"/>
    </row>
    <row r="16" spans="2:13" x14ac:dyDescent="0.25">
      <c r="B16" s="46" t="s">
        <v>17</v>
      </c>
      <c r="C16" s="47"/>
      <c r="D16" s="47"/>
      <c r="E16" s="47"/>
      <c r="F16" s="47"/>
      <c r="G16" s="24">
        <f>G15/1.13</f>
        <v>3.0973451327433632</v>
      </c>
      <c r="H16" s="7"/>
      <c r="I16" s="7"/>
      <c r="J16" s="7"/>
      <c r="K16" s="7"/>
      <c r="L16" s="7"/>
      <c r="M16" s="7"/>
    </row>
    <row r="17" spans="2:13" ht="15" customHeight="1" thickBot="1" x14ac:dyDescent="0.3">
      <c r="B17" s="49" t="s">
        <v>3</v>
      </c>
      <c r="C17" s="50"/>
      <c r="D17" s="50"/>
      <c r="E17" s="50"/>
      <c r="F17" s="50"/>
      <c r="G17" s="18">
        <f>J15/G16</f>
        <v>0.002671804285714286</v>
      </c>
      <c r="H17" s="8"/>
      <c r="I17" s="7"/>
      <c r="J17" s="7"/>
      <c r="K17" s="7"/>
      <c r="L17" s="7"/>
      <c r="M17" s="7"/>
    </row>
    <row r="18" spans="2:13" ht="14.4" thickTop="1" x14ac:dyDescent="0.2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2:13" x14ac:dyDescent="0.25">
      <c r="B19" s="41" t="s">
        <v>4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</row>
    <row r="20" spans="2:13" x14ac:dyDescent="0.25">
      <c r="B20" s="37" t="s">
        <v>5</v>
      </c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</row>
  </sheetData>
  <mergeCells count="7">
    <mergeCell ref="B20:M20"/>
    <mergeCell ref="B2:G2"/>
    <mergeCell ref="B19:M19"/>
    <mergeCell ref="B14:F14"/>
    <mergeCell ref="B15:F15"/>
    <mergeCell ref="B16:F16"/>
    <mergeCell ref="B17:F17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11</vt:i4>
      </vt:variant>
    </vt:vector>
  </HeadingPairs>
  <TitlesOfParts>
    <vt:vector size="11" baseType="lpstr">
      <vt:lpstr>Batatas (dose)</vt:lpstr>
      <vt:lpstr>Camarão ao Alho</vt:lpstr>
      <vt:lpstr>Ceviche</vt:lpstr>
      <vt:lpstr>Choco Frito</vt:lpstr>
      <vt:lpstr>Ovos Rotos</vt:lpstr>
      <vt:lpstr>Croquete</vt:lpstr>
      <vt:lpstr>Pica-Pau</vt:lpstr>
      <vt:lpstr>Prego de Novilho</vt:lpstr>
      <vt:lpstr>Prego de Atum</vt:lpstr>
      <vt:lpstr>Nachos</vt:lpstr>
      <vt:lpstr>Sopa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Ribas</dc:creator>
  <cp:lastModifiedBy>Nuno Ribas</cp:lastModifiedBy>
  <dcterms:created xsi:type="dcterms:W3CDTF">2026-06-11T12:58:17Z</dcterms:created>
  <dcterms:modified xsi:type="dcterms:W3CDTF">2026-08-19T13:27:56Z</dcterms:modified>
</cp:coreProperties>
</file>