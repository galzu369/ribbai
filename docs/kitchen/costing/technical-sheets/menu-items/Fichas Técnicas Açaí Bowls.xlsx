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45a07027276a17f/Documentos/Ribbaí/RIBB.AI/docs/kitchen/costing/technical-sheets/menu-items/"/>
    </mc:Choice>
  </mc:AlternateContent>
  <xr:revisionPtr revIDLastSave="504" documentId="8_{78B1ED4A-FDBA-447B-96DC-8962467A5637}" xr6:coauthVersionLast="47" xr6:coauthVersionMax="47" xr10:uidLastSave="{794337E9-5910-498B-BD63-885CFF80E667}"/>
  <bookViews>
    <workbookView xWindow="-108" yWindow="-108" windowWidth="23256" windowHeight="12456" xr2:uid="{DD3A7C83-A348-4967-90A3-58BB11A89343}"/>
  </bookViews>
  <sheets>
    <sheet name="9 Combinações" sheetId="1" r:id="rId1"/>
  </sheets>
  <calcPr calcId="191029" fullCalcOn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<sst xmlns="http://schemas.openxmlformats.org/spreadsheetml/2006/main" count="152" uniqueCount="29">
  <si>
    <t>Ingredientes</t>
  </si>
  <si>
    <t>Quantidades</t>
  </si>
  <si>
    <t>Preço Venda c/Iva</t>
  </si>
  <si>
    <t>% food cost</t>
  </si>
  <si>
    <t xml:space="preserve">Preparação: </t>
  </si>
  <si>
    <r>
      <t>Serviço:</t>
    </r>
    <r>
      <rPr>
        <sz val="11"/>
        <color theme="1"/>
        <rFont val="Arial"/>
        <family val="2"/>
      </rPr>
      <t xml:space="preserve"> </t>
    </r>
  </si>
  <si>
    <t>Preço s/ IVA</t>
  </si>
  <si>
    <t>IVA</t>
  </si>
  <si>
    <t>Preço c/ IVA</t>
  </si>
  <si>
    <t>Custo</t>
  </si>
  <si>
    <t>Morango</t>
  </si>
  <si>
    <t>Custo Mercadoria s/Iva</t>
  </si>
  <si>
    <t>Preço Venda s/Iva</t>
  </si>
  <si>
    <t xml:space="preserve">Serviço: </t>
  </si>
  <si>
    <t>Banana</t>
  </si>
  <si>
    <t>Leite em pó</t>
  </si>
  <si>
    <t>Manga</t>
  </si>
  <si>
    <t>Manteiga de amendoim</t>
  </si>
  <si>
    <t>Açaí</t>
  </si>
  <si>
    <t>1 - MORANGO, BANANA E LEITE EM PÓ</t>
  </si>
  <si>
    <t>2 - MORANGO, BANANA E MANTEIGA DE AMENDOIM</t>
  </si>
  <si>
    <t>3 - MORANGO, BANANA E GRANOLA</t>
  </si>
  <si>
    <t>4 - MORANGO, MANGA E LEITE EM PÓ</t>
  </si>
  <si>
    <t>5 - MORANGO, MANGA E MANTEIGA DE AMENDOIM</t>
  </si>
  <si>
    <t>6 - MORANGO, MANGA E GRANOLA</t>
  </si>
  <si>
    <t>7 - BANANA, MANGA E LEITE EM PÓ</t>
  </si>
  <si>
    <t>8 - BANANA, MANGA E MANTEIGA DE AMENDOIM</t>
  </si>
  <si>
    <t>9 - BANANA, MANGA E GRANOLA</t>
  </si>
  <si>
    <t>Granola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</si>
</sst>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* #,##0.00\ &quot;€&quot;_-;\-* #,##0.00\ &quot;€&quot;_-;_-* &quot;-&quot;??\ &quot;€&quot;_-;_-@_-"/>
    <numFmt numFmtId="164" formatCode="#,##0.00\ &quot;€&quot;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4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1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1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 style="thick">
        <color auto="1"/>
      </left>
      <right/>
      <top style="thick">
        <color auto="1"/>
      </top>
      <bottom style="thin">
        <color auto="1"/>
      </bottom>
      <diagonal/>
    </border>
    <border>
      <left/>
      <right/>
      <top style="thick">
        <color auto="1"/>
      </top>
      <bottom style="thin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ck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/>
      <top style="thin">
        <color auto="1"/>
      </top>
      <bottom style="thick">
        <color auto="1"/>
      </bottom>
      <diagonal/>
    </border>
    <border>
      <left/>
      <right/>
      <top style="thin">
        <color auto="1"/>
      </top>
      <bottom style="thick">
        <color auto="1"/>
      </bottom>
      <diagonal/>
    </border>
    <border>
      <left style="thick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30">
    <xf numFmtId="0" fontId="0" fillId="0" borderId="0" xfId="0"/>
    <xf numFmtId="0" fontId="3" fillId="0" borderId="0" xfId="0" applyFont="1" applyAlignment="1">
      <alignment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3" fillId="0" borderId="0" xfId="0" applyFont="1"/>
    <xf numFmtId="0" fontId="4" fillId="2" borderId="7" xfId="0" applyFont="1" applyFill="1" applyBorder="1" applyAlignment="1">
      <alignment horizontal="center" vertical="center"/>
    </xf>
    <xf numFmtId="0" fontId="3" fillId="0" borderId="8" xfId="0" applyFont="1" applyBorder="1" applyAlignment="1">
      <alignment horizontal="left" vertical="center"/>
    </xf>
    <xf numFmtId="0" fontId="3" fillId="0" borderId="9" xfId="0" applyFont="1" applyBorder="1" applyAlignment="1">
      <alignment horizontal="right" vertical="center"/>
    </xf>
    <xf numFmtId="164" fontId="3" fillId="0" borderId="9" xfId="0" applyNumberFormat="1" applyFont="1" applyBorder="1" applyAlignment="1">
      <alignment horizontal="right" vertical="center"/>
    </xf>
    <xf numFmtId="164" fontId="3" fillId="0" borderId="10" xfId="0" applyNumberFormat="1" applyFont="1" applyBorder="1" applyAlignment="1">
      <alignment horizontal="right" vertical="center"/>
    </xf>
    <xf numFmtId="164" fontId="4" fillId="0" borderId="11" xfId="0" applyNumberFormat="1" applyFont="1" applyBorder="1" applyAlignment="1">
      <alignment horizontal="right" vertical="center"/>
    </xf>
    <xf numFmtId="164" fontId="4" fillId="0" borderId="14" xfId="2" applyNumberFormat="1" applyFont="1" applyBorder="1" applyAlignment="1">
      <alignment horizontal="right" vertical="center"/>
    </xf>
    <xf numFmtId="164" fontId="4" fillId="0" borderId="17" xfId="2" applyNumberFormat="1" applyFont="1" applyBorder="1" applyAlignment="1">
      <alignment horizontal="right" vertical="center"/>
    </xf>
    <xf numFmtId="9" fontId="4" fillId="2" borderId="20" xfId="1" applyFont="1" applyFill="1" applyBorder="1" applyAlignment="1">
      <alignment horizontal="right" vertical="center"/>
    </xf>
    <xf numFmtId="9" fontId="3" fillId="0" borderId="9" xfId="0" applyNumberFormat="1" applyFont="1" applyBorder="1" applyAlignment="1">
      <alignment horizontal="center" vertical="center"/>
    </xf>
    <xf numFmtId="9" fontId="3" fillId="0" borderId="9" xfId="1" applyFont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3" fillId="0" borderId="15" xfId="0" applyFont="1" applyBorder="1" applyAlignment="1">
      <alignment horizontal="left" vertical="center"/>
    </xf>
    <xf numFmtId="0" fontId="3" fillId="0" borderId="16" xfId="0" applyFont="1" applyBorder="1" applyAlignment="1">
      <alignment horizontal="left" vertical="center"/>
    </xf>
    <xf numFmtId="0" fontId="5" fillId="0" borderId="15" xfId="0" applyFont="1" applyBorder="1" applyAlignment="1">
      <alignment horizontal="left" vertical="center"/>
    </xf>
    <xf numFmtId="0" fontId="5" fillId="0" borderId="16" xfId="0" applyFont="1" applyBorder="1" applyAlignment="1">
      <alignment horizontal="left" vertical="center"/>
    </xf>
    <xf numFmtId="0" fontId="3" fillId="0" borderId="18" xfId="0" applyFont="1" applyBorder="1" applyAlignment="1">
      <alignment horizontal="left" vertical="center"/>
    </xf>
    <xf numFmtId="0" fontId="3" fillId="0" borderId="19" xfId="0" applyFont="1" applyBorder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3" fillId="0" borderId="12" xfId="0" applyFont="1" applyBorder="1" applyAlignment="1">
      <alignment horizontal="left" vertical="center"/>
    </xf>
    <xf numFmtId="0" fontId="3" fillId="0" borderId="13" xfId="0" applyFont="1" applyBorder="1" applyAlignment="1">
      <alignment horizontal="left" vertical="center"/>
    </xf>
  </cellXfs>
  <cellStyles count="3">
    <cellStyle name="Moeda 2" xfId="2" xr:uid="{4158A69C-FAA0-42D1-ACFD-1E21409F97EC}"/>
    <cellStyle name="Normal" xfId="0" builtinId="0"/>
    <cellStyle name="Percentagem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8ACE9C-7188-4106-B38B-93AB760E6472}">
  <dimension ref="B1:U47"/>
  <sheetViews>
    <sheetView tabSelected="1" topLeftCell="A26" workbookViewId="0">
      <selection activeCell="P39" sqref="P39"/>
    </sheetView>
  </sheetViews>
  <sheetFormatPr defaultRowHeight="14.4" x14ac:dyDescent="0.3"/>
  <cols>
    <col min="2" max="2" width="20.77734375" style="5" customWidth="1"/>
    <col min="3" max="4" width="12.77734375" style="5" customWidth="1"/>
    <col min="5" max="5" width="6.77734375" style="5" customWidth="1"/>
    <col min="6" max="7" width="12.77734375" style="5" customWidth="1"/>
    <col min="9" max="9" width="20.77734375" style="5" customWidth="1"/>
    <col min="10" max="11" width="12.77734375" style="5" customWidth="1"/>
    <col min="12" max="12" width="6.77734375" style="5" customWidth="1"/>
    <col min="13" max="14" width="12.77734375" style="5" customWidth="1"/>
    <col min="16" max="16" width="20.77734375" style="5" customWidth="1"/>
    <col min="17" max="18" width="12.77734375" style="5" customWidth="1"/>
    <col min="19" max="19" width="6.77734375" style="5" customWidth="1"/>
    <col min="20" max="21" width="12.77734375" style="5" customWidth="1"/>
  </cols>
  <sheetData>
    <row r="1" spans="2:21" ht="15" thickBot="1" x14ac:dyDescent="0.35"/>
    <row r="2" spans="2:21" ht="18" thickBot="1" x14ac:dyDescent="0.35">
      <c r="B2" s="25" t="s">
        <v>19</v>
      </c>
      <c r="C2" s="26"/>
      <c r="D2" s="26"/>
      <c r="E2" s="26"/>
      <c r="F2" s="26"/>
      <c r="G2" s="27"/>
      <c r="I2" s="25" t="s">
        <v>20</v>
      </c>
      <c r="J2" s="26"/>
      <c r="K2" s="26"/>
      <c r="L2" s="26"/>
      <c r="M2" s="26"/>
      <c r="N2" s="27"/>
      <c r="P2" s="25" t="s">
        <v>21</v>
      </c>
      <c r="Q2" s="26"/>
      <c r="R2" s="26"/>
      <c r="S2" s="26"/>
      <c r="T2" s="26"/>
      <c r="U2" s="27"/>
    </row>
    <row r="3" spans="2:21" ht="15" thickBot="1" x14ac:dyDescent="0.35">
      <c r="B3" s="1"/>
      <c r="C3" s="1"/>
      <c r="D3" s="1"/>
      <c r="E3" s="1"/>
      <c r="F3" s="1"/>
      <c r="G3" s="1"/>
      <c r="I3" s="1"/>
      <c r="J3" s="1"/>
      <c r="K3" s="1"/>
      <c r="L3" s="1"/>
      <c r="M3" s="1"/>
      <c r="N3" s="1"/>
      <c r="P3" s="1"/>
      <c r="Q3" s="1"/>
      <c r="R3" s="1"/>
      <c r="S3" s="1"/>
      <c r="T3" s="1"/>
      <c r="U3" s="1"/>
    </row>
    <row r="4" spans="2:21" ht="15" thickTop="1" x14ac:dyDescent="0.3">
      <c r="B4" s="2" t="s">
        <v>0</v>
      </c>
      <c r="C4" s="3" t="s">
        <v>1</v>
      </c>
      <c r="D4" s="6" t="s">
        <v>6</v>
      </c>
      <c r="E4" s="6" t="s">
        <v>7</v>
      </c>
      <c r="F4" s="6" t="s">
        <v>8</v>
      </c>
      <c r="G4" s="4" t="s">
        <v>9</v>
      </c>
      <c r="I4" s="2" t="s">
        <v>0</v>
      </c>
      <c r="J4" s="3" t="s">
        <v>1</v>
      </c>
      <c r="K4" s="6" t="s">
        <v>6</v>
      </c>
      <c r="L4" s="6" t="s">
        <v>7</v>
      </c>
      <c r="M4" s="6" t="s">
        <v>8</v>
      </c>
      <c r="N4" s="4" t="s">
        <v>9</v>
      </c>
      <c r="P4" s="2" t="s">
        <v>0</v>
      </c>
      <c r="Q4" s="3" t="s">
        <v>1</v>
      </c>
      <c r="R4" s="6" t="s">
        <v>6</v>
      </c>
      <c r="S4" s="6" t="s">
        <v>7</v>
      </c>
      <c r="T4" s="6" t="s">
        <v>8</v>
      </c>
      <c r="U4" s="4" t="s">
        <v>9</v>
      </c>
    </row>
    <row r="5" spans="2:21" x14ac:dyDescent="0.3">
      <c r="B5" s="7" t="s">
        <v>10</v>
      </c>
      <c r="C5" s="8">
        <v>0.05</v>
      </c>
      <c r="D5" s="9">
        <v>4.8</v>
      </c>
      <c r="E5" s="15">
        <v>0.06</v>
      </c>
      <c r="F5" s="10">
        <f>D5+(D5*E5)</f>
        <v>5.0880000000000001</v>
      </c>
      <c r="G5" s="11">
        <f>D5*C5</f>
        <v>0.24</v>
      </c>
      <c r="I5" s="7" t="s">
        <v>10</v>
      </c>
      <c r="J5" s="8">
        <v>0.05</v>
      </c>
      <c r="K5" s="9">
        <v>4.8</v>
      </c>
      <c r="L5" s="15">
        <v>0.06</v>
      </c>
      <c r="M5" s="10">
        <f>K5+(K5*L5)</f>
        <v>5.0880000000000001</v>
      </c>
      <c r="N5" s="11">
        <f>K5*J5</f>
        <v>0.24</v>
      </c>
      <c r="P5" s="7" t="s">
        <v>10</v>
      </c>
      <c r="Q5" s="8">
        <v>0.05</v>
      </c>
      <c r="R5" s="9">
        <v>4.8</v>
      </c>
      <c r="S5" s="15">
        <v>0.06</v>
      </c>
      <c r="T5" s="10">
        <f>R5+(R5*S5)</f>
        <v>5.0880000000000001</v>
      </c>
      <c r="U5" s="11">
        <f>R5*Q5</f>
        <v>0.24</v>
      </c>
    </row>
    <row r="6" spans="2:21" x14ac:dyDescent="0.3">
      <c r="B6" s="7" t="s">
        <v>14</v>
      </c>
      <c r="C6" s="8">
        <v>0.08</v>
      </c>
      <c r="D6" s="9">
        <v>1.4</v>
      </c>
      <c r="E6" s="15">
        <v>0.06</v>
      </c>
      <c r="F6" s="10">
        <f t="shared" ref="F6:F8" si="0">D6+(D6*E6)</f>
        <v>1.484</v>
      </c>
      <c r="G6" s="11">
        <f t="shared" ref="G6:G7" si="1">D6*C6</f>
        <v>0.11199999999999999</v>
      </c>
      <c r="I6" s="7" t="s">
        <v>14</v>
      </c>
      <c r="J6" s="8">
        <v>0.08</v>
      </c>
      <c r="K6" s="9">
        <v>1.4</v>
      </c>
      <c r="L6" s="15">
        <v>0.06</v>
      </c>
      <c r="M6" s="10">
        <f t="shared" ref="M6:M8" si="2">K6+(K6*L6)</f>
        <v>1.484</v>
      </c>
      <c r="N6" s="11">
        <f t="shared" ref="N6:N7" si="3">K6*J6</f>
        <v>0.11199999999999999</v>
      </c>
      <c r="P6" s="7" t="s">
        <v>14</v>
      </c>
      <c r="Q6" s="8">
        <v>0.08</v>
      </c>
      <c r="R6" s="9">
        <v>1.4</v>
      </c>
      <c r="S6" s="15">
        <v>0.06</v>
      </c>
      <c r="T6" s="10">
        <f t="shared" ref="T6:T8" si="4">R6+(R6*S6)</f>
        <v>1.484</v>
      </c>
      <c r="U6" s="11">
        <f t="shared" ref="U6:U7" si="5">R6*Q6</f>
        <v>0.11199999999999999</v>
      </c>
    </row>
    <row r="7" spans="2:21" x14ac:dyDescent="0.3">
      <c r="B7" s="7" t="s">
        <v>15</v>
      </c>
      <c r="C7" s="8">
        <v>0.02</v>
      </c>
      <c r="D7" s="9">
        <v>15.16</v>
      </c>
      <c r="E7" s="15">
        <v>0.06</v>
      </c>
      <c r="F7" s="10">
        <f t="shared" si="0"/>
        <v>16.069600000000001</v>
      </c>
      <c r="G7" s="11">
        <f t="shared" si="1"/>
        <v>0.30320000000000003</v>
      </c>
      <c r="I7" s="7" t="s">
        <v>17</v>
      </c>
      <c r="J7" s="8">
        <v>0.03</v>
      </c>
      <c r="K7" s="9">
        <v>4.3499999999999996</v>
      </c>
      <c r="L7" s="15">
        <v>0.23</v>
      </c>
      <c r="M7" s="10">
        <f t="shared" si="2"/>
        <v>5.3504999999999994</v>
      </c>
      <c r="N7" s="11">
        <f t="shared" si="3"/>
        <v>0.13049999999999998</v>
      </c>
      <c r="P7" s="7" t="s">
        <v>28</v>
      </c>
      <c r="Q7" s="8">
        <v>0.03</v>
      </c>
      <c r="R7" s="9">
        <v>4.361434</v>
      </c>
      <c r="S7" s="16">
        <v>0.13</v>
      </c>
      <c r="T7" s="10">
        <f t="shared" si="4"/>
        <v>4.92842042</v>
      </c>
      <c r="U7" s="11">
        <f t="shared" si="5"/>
        <v>0.13084302</v>
      </c>
    </row>
    <row r="8" spans="2:21" ht="15" thickBot="1" x14ac:dyDescent="0.35">
      <c r="B8" s="7" t="s">
        <v>18</v>
      </c>
      <c r="C8" s="8">
        <v>0.2</v>
      </c>
      <c r="D8" s="9">
        <v>6</v>
      </c>
      <c r="E8" s="15">
        <v>0.23</v>
      </c>
      <c r="F8" s="10">
        <f t="shared" si="0"/>
        <v>7.38</v>
      </c>
      <c r="G8" s="11">
        <f>D8*C8</f>
        <v>1.2000000000000002</v>
      </c>
      <c r="I8" s="7" t="s">
        <v>18</v>
      </c>
      <c r="J8" s="8">
        <v>0.2</v>
      </c>
      <c r="K8" s="9">
        <v>6</v>
      </c>
      <c r="L8" s="15">
        <v>0.23</v>
      </c>
      <c r="M8" s="10">
        <f t="shared" si="2"/>
        <v>7.38</v>
      </c>
      <c r="N8" s="11">
        <f>K8*J8</f>
        <v>1.2000000000000002</v>
      </c>
      <c r="P8" s="7" t="s">
        <v>18</v>
      </c>
      <c r="Q8" s="8">
        <v>0.2</v>
      </c>
      <c r="R8" s="9">
        <v>6</v>
      </c>
      <c r="S8" s="15">
        <v>0.23</v>
      </c>
      <c r="T8" s="10">
        <f t="shared" si="4"/>
        <v>7.38</v>
      </c>
      <c r="U8" s="11">
        <f>R8*Q8</f>
        <v>1.2000000000000002</v>
      </c>
    </row>
    <row r="9" spans="2:21" ht="15" thickTop="1" x14ac:dyDescent="0.3">
      <c r="B9" s="28" t="s">
        <v>11</v>
      </c>
      <c r="C9" s="29"/>
      <c r="D9" s="29"/>
      <c r="E9" s="29"/>
      <c r="F9" s="29"/>
      <c r="G9" s="12">
        <f>SUM(G5:G8)</f>
        <v>1.8552000000000002</v>
      </c>
      <c r="I9" s="28" t="s">
        <v>11</v>
      </c>
      <c r="J9" s="29"/>
      <c r="K9" s="29"/>
      <c r="L9" s="29"/>
      <c r="M9" s="29"/>
      <c r="N9" s="12">
        <f>SUM(N5:N8)</f>
        <v>1.6825000000000001</v>
      </c>
      <c r="P9" s="28" t="s">
        <v>11</v>
      </c>
      <c r="Q9" s="29"/>
      <c r="R9" s="29"/>
      <c r="S9" s="29"/>
      <c r="T9" s="29"/>
      <c r="U9" s="12">
        <f>SUM(U5:U8)</f>
        <v>1.6828430200000002</v>
      </c>
    </row>
    <row r="10" spans="2:21" x14ac:dyDescent="0.3">
      <c r="B10" s="18" t="s">
        <v>2</v>
      </c>
      <c r="C10" s="19"/>
      <c r="D10" s="19"/>
      <c r="E10" s="19"/>
      <c r="F10" s="19"/>
      <c r="G10" s="13">
        <v>11</v>
      </c>
      <c r="I10" s="18" t="s">
        <v>2</v>
      </c>
      <c r="J10" s="19"/>
      <c r="K10" s="19"/>
      <c r="L10" s="19"/>
      <c r="M10" s="19"/>
      <c r="N10" s="13">
        <v>11</v>
      </c>
      <c r="P10" s="18" t="s">
        <v>2</v>
      </c>
      <c r="Q10" s="19"/>
      <c r="R10" s="19"/>
      <c r="S10" s="19"/>
      <c r="T10" s="19"/>
      <c r="U10" s="13">
        <v>11</v>
      </c>
    </row>
    <row r="11" spans="2:21" x14ac:dyDescent="0.3">
      <c r="B11" s="20" t="s">
        <v>12</v>
      </c>
      <c r="C11" s="21"/>
      <c r="D11" s="21"/>
      <c r="E11" s="21"/>
      <c r="F11" s="21"/>
      <c r="G11" s="13">
        <f>G10/1.13</f>
        <v>9.7345132743362832</v>
      </c>
      <c r="I11" s="20" t="s">
        <v>12</v>
      </c>
      <c r="J11" s="21"/>
      <c r="K11" s="21"/>
      <c r="L11" s="21"/>
      <c r="M11" s="21"/>
      <c r="N11" s="13">
        <f>N10/1.13</f>
        <v>9.7345132743362832</v>
      </c>
      <c r="P11" s="20" t="s">
        <v>12</v>
      </c>
      <c r="Q11" s="21"/>
      <c r="R11" s="21"/>
      <c r="S11" s="21"/>
      <c r="T11" s="21"/>
      <c r="U11" s="13">
        <f>U10/1.13</f>
        <v>9.7345132743362832</v>
      </c>
    </row>
    <row r="12" spans="2:21" ht="15" thickBot="1" x14ac:dyDescent="0.35">
      <c r="B12" s="22" t="s">
        <v>3</v>
      </c>
      <c r="C12" s="23"/>
      <c r="D12" s="23"/>
      <c r="E12" s="23"/>
      <c r="F12" s="23"/>
      <c r="G12" s="14">
        <f>G9/G11</f>
        <v>0.1905796363636364</v>
      </c>
      <c r="I12" s="22" t="s">
        <v>3</v>
      </c>
      <c r="J12" s="23"/>
      <c r="K12" s="23"/>
      <c r="L12" s="23"/>
      <c r="M12" s="23"/>
      <c r="N12" s="14">
        <f>N9/N11</f>
        <v>0.17283863636363636</v>
      </c>
      <c r="P12" s="22" t="s">
        <v>3</v>
      </c>
      <c r="Q12" s="23"/>
      <c r="R12" s="23"/>
      <c r="S12" s="23"/>
      <c r="T12" s="23"/>
      <c r="U12" s="14">
        <f>U9/U11</f>
        <v>0.1728738738727273</v>
      </c>
    </row>
    <row r="13" spans="2:21" ht="15" thickTop="1" x14ac:dyDescent="0.3">
      <c r="B13" s="1"/>
      <c r="C13" s="1"/>
      <c r="D13" s="1"/>
      <c r="E13" s="1"/>
      <c r="F13" s="1"/>
      <c r="G13" s="1"/>
      <c r="I13" s="1"/>
      <c r="J13" s="1"/>
      <c r="K13" s="1"/>
      <c r="L13" s="1"/>
      <c r="M13" s="1"/>
      <c r="N13" s="1"/>
      <c r="P13" s="1"/>
      <c r="Q13" s="1"/>
      <c r="R13" s="1"/>
      <c r="S13" s="1"/>
      <c r="T13" s="1"/>
      <c r="U13" s="1"/>
    </row>
    <row r="14" spans="2:21" x14ac:dyDescent="0.3">
      <c r="B14" s="24" t="s">
        <v>4</v>
      </c>
      <c r="C14" s="24"/>
      <c r="D14" s="24"/>
      <c r="E14" s="24"/>
      <c r="F14" s="24"/>
      <c r="G14" s="24"/>
      <c r="I14" s="24" t="s">
        <v>4</v>
      </c>
      <c r="J14" s="24"/>
      <c r="K14" s="24"/>
      <c r="L14" s="24"/>
      <c r="M14" s="24"/>
      <c r="N14" s="24"/>
      <c r="P14" s="24" t="s">
        <v>4</v>
      </c>
      <c r="Q14" s="24"/>
      <c r="R14" s="24"/>
      <c r="S14" s="24"/>
      <c r="T14" s="24"/>
      <c r="U14" s="24"/>
    </row>
    <row r="15" spans="2:21" x14ac:dyDescent="0.3">
      <c r="B15" s="17" t="s">
        <v>13</v>
      </c>
      <c r="C15" s="17"/>
      <c r="D15" s="17"/>
      <c r="E15" s="17"/>
      <c r="F15" s="17"/>
      <c r="G15" s="17"/>
      <c r="I15" s="17" t="s">
        <v>5</v>
      </c>
      <c r="J15" s="17"/>
      <c r="K15" s="17"/>
      <c r="L15" s="17"/>
      <c r="M15" s="17"/>
      <c r="N15" s="17"/>
      <c r="P15" s="17" t="s">
        <v>5</v>
      </c>
      <c r="Q15" s="17"/>
      <c r="R15" s="17"/>
      <c r="S15" s="17"/>
      <c r="T15" s="17"/>
      <c r="U15" s="17"/>
    </row>
    <row r="17" spans="2:21" ht="15" thickBot="1" x14ac:dyDescent="0.35"/>
    <row r="18" spans="2:21" ht="18" thickBot="1" x14ac:dyDescent="0.35">
      <c r="B18" s="25" t="s">
        <v>22</v>
      </c>
      <c r="C18" s="26"/>
      <c r="D18" s="26"/>
      <c r="E18" s="26"/>
      <c r="F18" s="26"/>
      <c r="G18" s="27"/>
      <c r="I18" s="25" t="s">
        <v>23</v>
      </c>
      <c r="J18" s="26"/>
      <c r="K18" s="26"/>
      <c r="L18" s="26"/>
      <c r="M18" s="26"/>
      <c r="N18" s="27"/>
      <c r="P18" s="25" t="s">
        <v>24</v>
      </c>
      <c r="Q18" s="26"/>
      <c r="R18" s="26"/>
      <c r="S18" s="26"/>
      <c r="T18" s="26"/>
      <c r="U18" s="27"/>
    </row>
    <row r="19" spans="2:21" ht="15" thickBot="1" x14ac:dyDescent="0.35">
      <c r="B19" s="1"/>
      <c r="C19" s="1"/>
      <c r="D19" s="1"/>
      <c r="E19" s="1"/>
      <c r="F19" s="1"/>
      <c r="G19" s="1"/>
      <c r="I19" s="1"/>
      <c r="J19" s="1"/>
      <c r="K19" s="1"/>
      <c r="L19" s="1"/>
      <c r="M19" s="1"/>
      <c r="N19" s="1"/>
      <c r="P19" s="1"/>
      <c r="Q19" s="1"/>
      <c r="R19" s="1"/>
      <c r="S19" s="1"/>
      <c r="T19" s="1"/>
      <c r="U19" s="1"/>
    </row>
    <row r="20" spans="2:21" ht="15" thickTop="1" x14ac:dyDescent="0.3">
      <c r="B20" s="2" t="s">
        <v>0</v>
      </c>
      <c r="C20" s="3" t="s">
        <v>1</v>
      </c>
      <c r="D20" s="6" t="s">
        <v>6</v>
      </c>
      <c r="E20" s="6" t="s">
        <v>7</v>
      </c>
      <c r="F20" s="6" t="s">
        <v>8</v>
      </c>
      <c r="G20" s="4" t="s">
        <v>9</v>
      </c>
      <c r="I20" s="2" t="s">
        <v>0</v>
      </c>
      <c r="J20" s="3" t="s">
        <v>1</v>
      </c>
      <c r="K20" s="6" t="s">
        <v>6</v>
      </c>
      <c r="L20" s="6" t="s">
        <v>7</v>
      </c>
      <c r="M20" s="6" t="s">
        <v>8</v>
      </c>
      <c r="N20" s="4" t="s">
        <v>9</v>
      </c>
      <c r="P20" s="2" t="s">
        <v>0</v>
      </c>
      <c r="Q20" s="3" t="s">
        <v>1</v>
      </c>
      <c r="R20" s="6" t="s">
        <v>6</v>
      </c>
      <c r="S20" s="6" t="s">
        <v>7</v>
      </c>
      <c r="T20" s="6" t="s">
        <v>8</v>
      </c>
      <c r="U20" s="4" t="s">
        <v>9</v>
      </c>
    </row>
    <row r="21" spans="2:21" x14ac:dyDescent="0.3">
      <c r="B21" s="7" t="s">
        <v>10</v>
      </c>
      <c r="C21" s="8">
        <v>0.05</v>
      </c>
      <c r="D21" s="9">
        <v>4.8</v>
      </c>
      <c r="E21" s="15">
        <v>0.06</v>
      </c>
      <c r="F21" s="10">
        <f>D21+(D21*E21)</f>
        <v>5.0880000000000001</v>
      </c>
      <c r="G21" s="11">
        <f>D21*C21</f>
        <v>0.24</v>
      </c>
      <c r="I21" s="7" t="s">
        <v>10</v>
      </c>
      <c r="J21" s="8">
        <v>0.05</v>
      </c>
      <c r="K21" s="9">
        <v>4.8</v>
      </c>
      <c r="L21" s="15">
        <v>0.06</v>
      </c>
      <c r="M21" s="10">
        <f>K21+(K21*L21)</f>
        <v>5.0880000000000001</v>
      </c>
      <c r="N21" s="11">
        <f>K21*J21</f>
        <v>0.24</v>
      </c>
      <c r="P21" s="7" t="s">
        <v>10</v>
      </c>
      <c r="Q21" s="8">
        <v>0.05</v>
      </c>
      <c r="R21" s="9">
        <v>4.8</v>
      </c>
      <c r="S21" s="15">
        <v>0.06</v>
      </c>
      <c r="T21" s="10">
        <f>R21+(R21*S21)</f>
        <v>5.0880000000000001</v>
      </c>
      <c r="U21" s="11">
        <f>R21*Q21</f>
        <v>0.24</v>
      </c>
    </row>
    <row r="22" spans="2:21" x14ac:dyDescent="0.3">
      <c r="B22" s="7" t="s">
        <v>16</v>
      </c>
      <c r="C22" s="8">
        <v>7.4999999999999997E-2</v>
      </c>
      <c r="D22" s="9">
        <v>4.2</v>
      </c>
      <c r="E22" s="15">
        <v>0.06</v>
      </c>
      <c r="F22" s="10">
        <f>D22+(D22*E22)</f>
        <v>4.452</v>
      </c>
      <c r="G22" s="11">
        <f t="shared" ref="G22:G23" si="6">D22*C22</f>
        <v>0.315</v>
      </c>
      <c r="I22" s="7" t="s">
        <v>16</v>
      </c>
      <c r="J22" s="8">
        <v>7.4999999999999997E-2</v>
      </c>
      <c r="K22" s="9">
        <v>4.2</v>
      </c>
      <c r="L22" s="15">
        <v>0.06</v>
      </c>
      <c r="M22" s="10">
        <f t="shared" ref="M22:M24" si="7">K22+(K22*L22)</f>
        <v>4.452</v>
      </c>
      <c r="N22" s="11">
        <f t="shared" ref="N22:N23" si="8">K22*J22</f>
        <v>0.315</v>
      </c>
      <c r="P22" s="7" t="s">
        <v>16</v>
      </c>
      <c r="Q22" s="8">
        <v>7.4999999999999997E-2</v>
      </c>
      <c r="R22" s="9">
        <v>4.2</v>
      </c>
      <c r="S22" s="15">
        <v>0.06</v>
      </c>
      <c r="T22" s="10">
        <f t="shared" ref="T22:T24" si="9">R22+(R22*S22)</f>
        <v>4.452</v>
      </c>
      <c r="U22" s="11">
        <f t="shared" ref="U22:U23" si="10">R22*Q22</f>
        <v>0.315</v>
      </c>
    </row>
    <row r="23" spans="2:21" x14ac:dyDescent="0.3">
      <c r="B23" s="7" t="s">
        <v>15</v>
      </c>
      <c r="C23" s="8">
        <v>0.02</v>
      </c>
      <c r="D23" s="9">
        <v>15.16</v>
      </c>
      <c r="E23" s="15">
        <v>0.06</v>
      </c>
      <c r="F23" s="10">
        <f>D23+(D23*E23)</f>
        <v>16.069600000000001</v>
      </c>
      <c r="G23" s="11">
        <f t="shared" si="6"/>
        <v>0.30320000000000003</v>
      </c>
      <c r="I23" s="7" t="s">
        <v>17</v>
      </c>
      <c r="J23" s="8">
        <v>0.03</v>
      </c>
      <c r="K23" s="9">
        <v>4.3499999999999996</v>
      </c>
      <c r="L23" s="15">
        <v>0.23</v>
      </c>
      <c r="M23" s="10">
        <f t="shared" si="7"/>
        <v>5.3504999999999994</v>
      </c>
      <c r="N23" s="11">
        <f t="shared" si="8"/>
        <v>0.13049999999999998</v>
      </c>
      <c r="P23" s="7" t="s">
        <v>28</v>
      </c>
      <c r="Q23" s="8">
        <v>0.03</v>
      </c>
      <c r="R23" s="9">
        <v>4.361434</v>
      </c>
      <c r="S23" s="16">
        <v>0.13</v>
      </c>
      <c r="T23" s="10">
        <f t="shared" si="9"/>
        <v>4.92842042</v>
      </c>
      <c r="U23" s="11">
        <f t="shared" si="10"/>
        <v>0.13084302</v>
      </c>
    </row>
    <row r="24" spans="2:21" ht="15" thickBot="1" x14ac:dyDescent="0.35">
      <c r="B24" s="7" t="s">
        <v>18</v>
      </c>
      <c r="C24" s="8">
        <v>0.2</v>
      </c>
      <c r="D24" s="9">
        <v>6</v>
      </c>
      <c r="E24" s="15">
        <v>0.23</v>
      </c>
      <c r="F24" s="10">
        <f>D24+(D24*E24)</f>
        <v>7.38</v>
      </c>
      <c r="G24" s="11">
        <f>D24*C24</f>
        <v>1.2000000000000002</v>
      </c>
      <c r="I24" s="7" t="s">
        <v>18</v>
      </c>
      <c r="J24" s="8">
        <v>0.2</v>
      </c>
      <c r="K24" s="9">
        <v>6</v>
      </c>
      <c r="L24" s="15">
        <v>0.23</v>
      </c>
      <c r="M24" s="10">
        <f t="shared" si="7"/>
        <v>7.38</v>
      </c>
      <c r="N24" s="11">
        <f>K24*J24</f>
        <v>1.2000000000000002</v>
      </c>
      <c r="P24" s="7" t="s">
        <v>18</v>
      </c>
      <c r="Q24" s="8">
        <v>0.2</v>
      </c>
      <c r="R24" s="9">
        <v>6</v>
      </c>
      <c r="S24" s="15">
        <v>0.23</v>
      </c>
      <c r="T24" s="10">
        <f t="shared" si="9"/>
        <v>7.38</v>
      </c>
      <c r="U24" s="11">
        <f>R24*Q24</f>
        <v>1.2000000000000002</v>
      </c>
    </row>
    <row r="25" spans="2:21" ht="15" thickTop="1" x14ac:dyDescent="0.3">
      <c r="B25" s="28" t="s">
        <v>11</v>
      </c>
      <c r="C25" s="29"/>
      <c r="D25" s="29"/>
      <c r="E25" s="29"/>
      <c r="F25" s="29"/>
      <c r="G25" s="12">
        <f>SUM(G21:G24)</f>
        <v>2.0582000000000003</v>
      </c>
      <c r="I25" s="28" t="s">
        <v>11</v>
      </c>
      <c r="J25" s="29"/>
      <c r="K25" s="29"/>
      <c r="L25" s="29"/>
      <c r="M25" s="29"/>
      <c r="N25" s="12">
        <f>SUM(N21:N24)</f>
        <v>1.8855</v>
      </c>
      <c r="P25" s="28" t="s">
        <v>11</v>
      </c>
      <c r="Q25" s="29"/>
      <c r="R25" s="29"/>
      <c r="S25" s="29"/>
      <c r="T25" s="29"/>
      <c r="U25" s="12">
        <f>SUM(U21:U24)</f>
        <v>1.8858430200000003</v>
      </c>
    </row>
    <row r="26" spans="2:21" x14ac:dyDescent="0.3">
      <c r="B26" s="18" t="s">
        <v>2</v>
      </c>
      <c r="C26" s="19"/>
      <c r="D26" s="19"/>
      <c r="E26" s="19"/>
      <c r="F26" s="19"/>
      <c r="G26" s="13">
        <v>11</v>
      </c>
      <c r="I26" s="18" t="s">
        <v>2</v>
      </c>
      <c r="J26" s="19"/>
      <c r="K26" s="19"/>
      <c r="L26" s="19"/>
      <c r="M26" s="19"/>
      <c r="N26" s="13">
        <v>11</v>
      </c>
      <c r="P26" s="18" t="s">
        <v>2</v>
      </c>
      <c r="Q26" s="19"/>
      <c r="R26" s="19"/>
      <c r="S26" s="19"/>
      <c r="T26" s="19"/>
      <c r="U26" s="13">
        <v>11</v>
      </c>
    </row>
    <row r="27" spans="2:21" x14ac:dyDescent="0.3">
      <c r="B27" s="20" t="s">
        <v>12</v>
      </c>
      <c r="C27" s="21"/>
      <c r="D27" s="21"/>
      <c r="E27" s="21"/>
      <c r="F27" s="21"/>
      <c r="G27" s="13">
        <f>G26/1.13</f>
        <v>9.7345132743362832</v>
      </c>
      <c r="I27" s="20" t="s">
        <v>12</v>
      </c>
      <c r="J27" s="21"/>
      <c r="K27" s="21"/>
      <c r="L27" s="21"/>
      <c r="M27" s="21"/>
      <c r="N27" s="13">
        <f>N26/1.13</f>
        <v>9.7345132743362832</v>
      </c>
      <c r="P27" s="20" t="s">
        <v>12</v>
      </c>
      <c r="Q27" s="21"/>
      <c r="R27" s="21"/>
      <c r="S27" s="21"/>
      <c r="T27" s="21"/>
      <c r="U27" s="13">
        <f>U26/1.13</f>
        <v>9.7345132743362832</v>
      </c>
    </row>
    <row r="28" spans="2:21" ht="15" thickBot="1" x14ac:dyDescent="0.35">
      <c r="B28" s="22" t="s">
        <v>3</v>
      </c>
      <c r="C28" s="23"/>
      <c r="D28" s="23"/>
      <c r="E28" s="23"/>
      <c r="F28" s="23"/>
      <c r="G28" s="14">
        <f>G25/G27</f>
        <v>0.21143327272727275</v>
      </c>
      <c r="I28" s="22" t="s">
        <v>3</v>
      </c>
      <c r="J28" s="23"/>
      <c r="K28" s="23"/>
      <c r="L28" s="23"/>
      <c r="M28" s="23"/>
      <c r="N28" s="14">
        <f>N25/N27</f>
        <v>0.19369227272727271</v>
      </c>
      <c r="P28" s="22" t="s">
        <v>3</v>
      </c>
      <c r="Q28" s="23"/>
      <c r="R28" s="23"/>
      <c r="S28" s="23"/>
      <c r="T28" s="23"/>
      <c r="U28" s="14">
        <f>U25/U27</f>
        <v>0.19372751023636367</v>
      </c>
    </row>
    <row r="29" spans="2:21" ht="15" thickTop="1" x14ac:dyDescent="0.3">
      <c r="B29" s="1"/>
      <c r="C29" s="1"/>
      <c r="D29" s="1"/>
      <c r="E29" s="1"/>
      <c r="F29" s="1"/>
      <c r="G29" s="1"/>
      <c r="I29" s="1"/>
      <c r="J29" s="1"/>
      <c r="K29" s="1"/>
      <c r="L29" s="1"/>
      <c r="M29" s="1"/>
      <c r="N29" s="1"/>
      <c r="P29" s="1"/>
      <c r="Q29" s="1"/>
      <c r="R29" s="1"/>
      <c r="S29" s="1"/>
      <c r="T29" s="1"/>
      <c r="U29" s="1"/>
    </row>
    <row r="30" spans="2:21" x14ac:dyDescent="0.3">
      <c r="B30" s="24" t="s">
        <v>4</v>
      </c>
      <c r="C30" s="24"/>
      <c r="D30" s="24"/>
      <c r="E30" s="24"/>
      <c r="F30" s="24"/>
      <c r="G30" s="24"/>
      <c r="I30" s="24" t="s">
        <v>4</v>
      </c>
      <c r="J30" s="24"/>
      <c r="K30" s="24"/>
      <c r="L30" s="24"/>
      <c r="M30" s="24"/>
      <c r="N30" s="24"/>
      <c r="P30" s="24" t="s">
        <v>4</v>
      </c>
      <c r="Q30" s="24"/>
      <c r="R30" s="24"/>
      <c r="S30" s="24"/>
      <c r="T30" s="24"/>
      <c r="U30" s="24"/>
    </row>
    <row r="31" spans="2:21" x14ac:dyDescent="0.3">
      <c r="B31" s="17" t="s">
        <v>5</v>
      </c>
      <c r="C31" s="17"/>
      <c r="D31" s="17"/>
      <c r="E31" s="17"/>
      <c r="F31" s="17"/>
      <c r="G31" s="17"/>
      <c r="I31" s="17" t="s">
        <v>5</v>
      </c>
      <c r="J31" s="17"/>
      <c r="K31" s="17"/>
      <c r="L31" s="17"/>
      <c r="M31" s="17"/>
      <c r="N31" s="17"/>
      <c r="P31" s="17"/>
      <c r="Q31" s="17"/>
      <c r="R31" s="17"/>
      <c r="S31" s="17"/>
      <c r="T31" s="17"/>
      <c r="U31" s="17"/>
    </row>
    <row r="33" spans="2:21" ht="15" thickBot="1" x14ac:dyDescent="0.35"/>
    <row r="34" spans="2:21" ht="18" thickBot="1" x14ac:dyDescent="0.35">
      <c r="B34" s="25" t="s">
        <v>25</v>
      </c>
      <c r="C34" s="26"/>
      <c r="D34" s="26"/>
      <c r="E34" s="26"/>
      <c r="F34" s="26"/>
      <c r="G34" s="27"/>
      <c r="I34" s="25" t="s">
        <v>26</v>
      </c>
      <c r="J34" s="26"/>
      <c r="K34" s="26"/>
      <c r="L34" s="26"/>
      <c r="M34" s="26"/>
      <c r="N34" s="27"/>
      <c r="P34" s="25" t="s">
        <v>27</v>
      </c>
      <c r="Q34" s="26"/>
      <c r="R34" s="26"/>
      <c r="S34" s="26"/>
      <c r="T34" s="26"/>
      <c r="U34" s="27"/>
    </row>
    <row r="35" spans="2:21" ht="15" thickBot="1" x14ac:dyDescent="0.35">
      <c r="B35" s="1"/>
      <c r="C35" s="1"/>
      <c r="D35" s="1"/>
      <c r="E35" s="1"/>
      <c r="F35" s="1"/>
      <c r="G35" s="1"/>
      <c r="I35" s="1"/>
      <c r="J35" s="1"/>
      <c r="K35" s="1"/>
      <c r="L35" s="1"/>
      <c r="M35" s="1"/>
      <c r="N35" s="1"/>
      <c r="P35" s="1"/>
      <c r="Q35" s="1"/>
      <c r="R35" s="1"/>
      <c r="S35" s="1"/>
      <c r="T35" s="1"/>
      <c r="U35" s="1"/>
    </row>
    <row r="36" spans="2:21" ht="15" thickTop="1" x14ac:dyDescent="0.3">
      <c r="B36" s="2" t="s">
        <v>0</v>
      </c>
      <c r="C36" s="3" t="s">
        <v>1</v>
      </c>
      <c r="D36" s="6" t="s">
        <v>6</v>
      </c>
      <c r="E36" s="6" t="s">
        <v>7</v>
      </c>
      <c r="F36" s="6" t="s">
        <v>8</v>
      </c>
      <c r="G36" s="4" t="s">
        <v>9</v>
      </c>
      <c r="I36" s="2" t="s">
        <v>0</v>
      </c>
      <c r="J36" s="3" t="s">
        <v>1</v>
      </c>
      <c r="K36" s="6" t="s">
        <v>6</v>
      </c>
      <c r="L36" s="6" t="s">
        <v>7</v>
      </c>
      <c r="M36" s="6" t="s">
        <v>8</v>
      </c>
      <c r="N36" s="4" t="s">
        <v>9</v>
      </c>
      <c r="P36" s="2" t="s">
        <v>0</v>
      </c>
      <c r="Q36" s="3" t="s">
        <v>1</v>
      </c>
      <c r="R36" s="6" t="s">
        <v>6</v>
      </c>
      <c r="S36" s="6" t="s">
        <v>7</v>
      </c>
      <c r="T36" s="6" t="s">
        <v>8</v>
      </c>
      <c r="U36" s="4" t="s">
        <v>9</v>
      </c>
    </row>
    <row r="37" spans="2:21" x14ac:dyDescent="0.3">
      <c r="B37" s="7" t="s">
        <v>14</v>
      </c>
      <c r="C37" s="8">
        <v>0.08</v>
      </c>
      <c r="D37" s="9">
        <v>1.4</v>
      </c>
      <c r="E37" s="15">
        <v>0.06</v>
      </c>
      <c r="F37" s="10">
        <f>D37+(D37*E37)</f>
        <v>1.484</v>
      </c>
      <c r="G37" s="11">
        <f>D37*C37</f>
        <v>0.11199999999999999</v>
      </c>
      <c r="I37" s="7" t="s">
        <v>14</v>
      </c>
      <c r="J37" s="8">
        <v>0.08</v>
      </c>
      <c r="K37" s="9">
        <v>1.4</v>
      </c>
      <c r="L37" s="15">
        <v>0.06</v>
      </c>
      <c r="M37" s="10">
        <f>K37+(K37*L37)</f>
        <v>1.484</v>
      </c>
      <c r="N37" s="11">
        <f>K37*J37</f>
        <v>0.11199999999999999</v>
      </c>
      <c r="P37" s="7" t="s">
        <v>14</v>
      </c>
      <c r="Q37" s="8">
        <v>0.08</v>
      </c>
      <c r="R37" s="9">
        <v>1.4</v>
      </c>
      <c r="S37" s="15">
        <v>0.06</v>
      </c>
      <c r="T37" s="10">
        <f>R37+(R37*S37)</f>
        <v>1.484</v>
      </c>
      <c r="U37" s="11">
        <f>R37*Q37</f>
        <v>0.11199999999999999</v>
      </c>
    </row>
    <row r="38" spans="2:21" x14ac:dyDescent="0.3">
      <c r="B38" s="7" t="s">
        <v>16</v>
      </c>
      <c r="C38" s="8">
        <v>7.4999999999999997E-2</v>
      </c>
      <c r="D38" s="9">
        <v>4.2</v>
      </c>
      <c r="E38" s="15">
        <v>0.06</v>
      </c>
      <c r="F38" s="10">
        <f t="shared" ref="F38:F40" si="11">D38+(D38*E38)</f>
        <v>4.452</v>
      </c>
      <c r="G38" s="11">
        <f t="shared" ref="G38:G39" si="12">D38*C38</f>
        <v>0.315</v>
      </c>
      <c r="I38" s="7" t="s">
        <v>16</v>
      </c>
      <c r="J38" s="8">
        <v>7.4999999999999997E-2</v>
      </c>
      <c r="K38" s="9">
        <v>4.2</v>
      </c>
      <c r="L38" s="15">
        <v>0.06</v>
      </c>
      <c r="M38" s="10">
        <f>K38+(K38*L38)</f>
        <v>4.452</v>
      </c>
      <c r="N38" s="11">
        <f>K38*J38</f>
        <v>0.315</v>
      </c>
      <c r="P38" s="7" t="s">
        <v>16</v>
      </c>
      <c r="Q38" s="8">
        <v>7.4999999999999997E-2</v>
      </c>
      <c r="R38" s="9">
        <v>4.2</v>
      </c>
      <c r="S38" s="15">
        <v>0.06</v>
      </c>
      <c r="T38" s="10">
        <f t="shared" ref="T38:T40" si="13">R38+(R38*S38)</f>
        <v>4.452</v>
      </c>
      <c r="U38" s="11">
        <f t="shared" ref="U38:U39" si="14">R38*Q38</f>
        <v>0.315</v>
      </c>
    </row>
    <row r="39" spans="2:21" x14ac:dyDescent="0.3">
      <c r="B39" s="7" t="s">
        <v>15</v>
      </c>
      <c r="C39" s="8">
        <v>0.02</v>
      </c>
      <c r="D39" s="9">
        <v>15.16</v>
      </c>
      <c r="E39" s="15">
        <v>0.06</v>
      </c>
      <c r="F39" s="10">
        <f t="shared" si="11"/>
        <v>16.069600000000001</v>
      </c>
      <c r="G39" s="11">
        <f t="shared" si="12"/>
        <v>0.30320000000000003</v>
      </c>
      <c r="I39" s="7" t="s">
        <v>17</v>
      </c>
      <c r="J39" s="8">
        <v>0.03</v>
      </c>
      <c r="K39" s="9">
        <v>4.3499999999999996</v>
      </c>
      <c r="L39" s="15">
        <v>0.23</v>
      </c>
      <c r="M39" s="10">
        <f>K39+(K39*L39)</f>
        <v>5.3504999999999994</v>
      </c>
      <c r="N39" s="11">
        <f>K39*J39</f>
        <v>0.13049999999999998</v>
      </c>
      <c r="P39" s="7" t="s">
        <v>28</v>
      </c>
      <c r="Q39" s="8">
        <v>0.03</v>
      </c>
      <c r="R39" s="9">
        <v>4.361434</v>
      </c>
      <c r="S39" s="16">
        <v>0.13</v>
      </c>
      <c r="T39" s="10">
        <f t="shared" si="13"/>
        <v>4.92842042</v>
      </c>
      <c r="U39" s="11">
        <f t="shared" si="14"/>
        <v>0.13084302</v>
      </c>
    </row>
    <row r="40" spans="2:21" ht="15" thickBot="1" x14ac:dyDescent="0.35">
      <c r="B40" s="7" t="s">
        <v>18</v>
      </c>
      <c r="C40" s="8">
        <v>0.2</v>
      </c>
      <c r="D40" s="9">
        <v>6</v>
      </c>
      <c r="E40" s="15">
        <v>0.23</v>
      </c>
      <c r="F40" s="10">
        <f t="shared" si="11"/>
        <v>7.38</v>
      </c>
      <c r="G40" s="11">
        <f>D40*C40</f>
        <v>1.2000000000000002</v>
      </c>
      <c r="I40" s="7" t="s">
        <v>18</v>
      </c>
      <c r="J40" s="8">
        <v>0.2</v>
      </c>
      <c r="K40" s="9">
        <v>6</v>
      </c>
      <c r="L40" s="15">
        <v>0.23</v>
      </c>
      <c r="M40" s="10">
        <f t="shared" ref="M40" si="15">K40+(K40*L40)</f>
        <v>7.38</v>
      </c>
      <c r="N40" s="11">
        <f>K40*J40</f>
        <v>1.2000000000000002</v>
      </c>
      <c r="P40" s="7" t="s">
        <v>18</v>
      </c>
      <c r="Q40" s="8">
        <v>0.2</v>
      </c>
      <c r="R40" s="9">
        <v>6</v>
      </c>
      <c r="S40" s="15">
        <v>0.23</v>
      </c>
      <c r="T40" s="10">
        <f t="shared" si="13"/>
        <v>7.38</v>
      </c>
      <c r="U40" s="11">
        <f>R40*Q40</f>
        <v>1.2000000000000002</v>
      </c>
    </row>
    <row r="41" spans="2:21" ht="15" thickTop="1" x14ac:dyDescent="0.3">
      <c r="B41" s="28" t="s">
        <v>11</v>
      </c>
      <c r="C41" s="29"/>
      <c r="D41" s="29"/>
      <c r="E41" s="29"/>
      <c r="F41" s="29"/>
      <c r="G41" s="12">
        <f>SUM(G37:G40)</f>
        <v>1.9302000000000001</v>
      </c>
      <c r="I41" s="28" t="s">
        <v>11</v>
      </c>
      <c r="J41" s="29"/>
      <c r="K41" s="29"/>
      <c r="L41" s="29"/>
      <c r="M41" s="29"/>
      <c r="N41" s="12">
        <f>SUM(N37:N40)</f>
        <v>1.7575000000000003</v>
      </c>
      <c r="P41" s="28" t="s">
        <v>11</v>
      </c>
      <c r="Q41" s="29"/>
      <c r="R41" s="29"/>
      <c r="S41" s="29"/>
      <c r="T41" s="29"/>
      <c r="U41" s="12">
        <f>SUM(U37:U40)</f>
        <v>1.7578430200000001</v>
      </c>
    </row>
    <row r="42" spans="2:21" x14ac:dyDescent="0.3">
      <c r="B42" s="18" t="s">
        <v>2</v>
      </c>
      <c r="C42" s="19"/>
      <c r="D42" s="19"/>
      <c r="E42" s="19"/>
      <c r="F42" s="19"/>
      <c r="G42" s="13">
        <v>11</v>
      </c>
      <c r="I42" s="18" t="s">
        <v>2</v>
      </c>
      <c r="J42" s="19"/>
      <c r="K42" s="19"/>
      <c r="L42" s="19"/>
      <c r="M42" s="19"/>
      <c r="N42" s="13">
        <v>11</v>
      </c>
      <c r="P42" s="18" t="s">
        <v>2</v>
      </c>
      <c r="Q42" s="19"/>
      <c r="R42" s="19"/>
      <c r="S42" s="19"/>
      <c r="T42" s="19"/>
      <c r="U42" s="13">
        <v>11</v>
      </c>
    </row>
    <row r="43" spans="2:21" x14ac:dyDescent="0.3">
      <c r="B43" s="20" t="s">
        <v>12</v>
      </c>
      <c r="C43" s="21"/>
      <c r="D43" s="21"/>
      <c r="E43" s="21"/>
      <c r="F43" s="21"/>
      <c r="G43" s="13">
        <f>G42/1.13</f>
        <v>9.7345132743362832</v>
      </c>
      <c r="I43" s="20" t="s">
        <v>12</v>
      </c>
      <c r="J43" s="21"/>
      <c r="K43" s="21"/>
      <c r="L43" s="21"/>
      <c r="M43" s="21"/>
      <c r="N43" s="13">
        <f>N42/1.13</f>
        <v>9.7345132743362832</v>
      </c>
      <c r="P43" s="20" t="s">
        <v>12</v>
      </c>
      <c r="Q43" s="21"/>
      <c r="R43" s="21"/>
      <c r="S43" s="21"/>
      <c r="T43" s="21"/>
      <c r="U43" s="13">
        <f>U42/1.13</f>
        <v>9.7345132743362832</v>
      </c>
    </row>
    <row r="44" spans="2:21" ht="15" thickBot="1" x14ac:dyDescent="0.35">
      <c r="B44" s="22" t="s">
        <v>3</v>
      </c>
      <c r="C44" s="23"/>
      <c r="D44" s="23"/>
      <c r="E44" s="23"/>
      <c r="F44" s="23"/>
      <c r="G44" s="14">
        <f>G41/G43</f>
        <v>0.19828418181818183</v>
      </c>
      <c r="I44" s="22" t="s">
        <v>3</v>
      </c>
      <c r="J44" s="23"/>
      <c r="K44" s="23"/>
      <c r="L44" s="23"/>
      <c r="M44" s="23"/>
      <c r="N44" s="14">
        <f>N41/N43</f>
        <v>0.18054318181818185</v>
      </c>
      <c r="P44" s="22" t="s">
        <v>3</v>
      </c>
      <c r="Q44" s="23"/>
      <c r="R44" s="23"/>
      <c r="S44" s="23"/>
      <c r="T44" s="23"/>
      <c r="U44" s="14">
        <f>U41/U43</f>
        <v>0.18057841932727275</v>
      </c>
    </row>
    <row r="45" spans="2:21" ht="15" thickTop="1" x14ac:dyDescent="0.3">
      <c r="B45" s="1"/>
      <c r="C45" s="1"/>
      <c r="D45" s="1"/>
      <c r="E45" s="1"/>
      <c r="F45" s="1"/>
      <c r="G45" s="1"/>
      <c r="I45" s="1"/>
      <c r="J45" s="1"/>
      <c r="K45" s="1"/>
      <c r="L45" s="1"/>
      <c r="M45" s="1"/>
      <c r="N45" s="1"/>
      <c r="P45" s="1"/>
      <c r="Q45" s="1"/>
      <c r="R45" s="1"/>
      <c r="S45" s="1"/>
      <c r="T45" s="1"/>
      <c r="U45" s="1"/>
    </row>
    <row r="46" spans="2:21" x14ac:dyDescent="0.3">
      <c r="B46" s="24" t="s">
        <v>4</v>
      </c>
      <c r="C46" s="24"/>
      <c r="D46" s="24"/>
      <c r="E46" s="24"/>
      <c r="F46" s="24"/>
      <c r="G46" s="24"/>
      <c r="I46" s="24" t="s">
        <v>4</v>
      </c>
      <c r="J46" s="24"/>
      <c r="K46" s="24"/>
      <c r="L46" s="24"/>
      <c r="M46" s="24"/>
      <c r="N46" s="24"/>
      <c r="P46" s="24" t="s">
        <v>4</v>
      </c>
      <c r="Q46" s="24"/>
      <c r="R46" s="24"/>
      <c r="S46" s="24"/>
      <c r="T46" s="24"/>
      <c r="U46" s="24"/>
    </row>
    <row r="47" spans="2:21" x14ac:dyDescent="0.3">
      <c r="B47" s="17" t="s">
        <v>5</v>
      </c>
      <c r="C47" s="17"/>
      <c r="D47" s="17"/>
      <c r="E47" s="17"/>
      <c r="F47" s="17"/>
      <c r="G47" s="17"/>
      <c r="I47" s="17" t="s">
        <v>5</v>
      </c>
      <c r="J47" s="17"/>
      <c r="K47" s="17"/>
      <c r="L47" s="17"/>
      <c r="M47" s="17"/>
      <c r="N47" s="17"/>
      <c r="P47" s="17" t="s">
        <v>5</v>
      </c>
      <c r="Q47" s="17"/>
      <c r="R47" s="17"/>
      <c r="S47" s="17"/>
      <c r="T47" s="17"/>
      <c r="U47" s="17"/>
    </row>
  </sheetData>
  <mergeCells count="63">
    <mergeCell ref="P2:U2"/>
    <mergeCell ref="P9:T9"/>
    <mergeCell ref="P10:T10"/>
    <mergeCell ref="P11:T11"/>
    <mergeCell ref="B12:F12"/>
    <mergeCell ref="I2:N2"/>
    <mergeCell ref="I9:M9"/>
    <mergeCell ref="I10:M10"/>
    <mergeCell ref="I11:M11"/>
    <mergeCell ref="I12:M12"/>
    <mergeCell ref="B2:G2"/>
    <mergeCell ref="B9:F9"/>
    <mergeCell ref="B10:F10"/>
    <mergeCell ref="B11:F11"/>
    <mergeCell ref="B18:G18"/>
    <mergeCell ref="B25:F25"/>
    <mergeCell ref="B26:F26"/>
    <mergeCell ref="B27:F27"/>
    <mergeCell ref="P12:T12"/>
    <mergeCell ref="P14:U14"/>
    <mergeCell ref="P15:U15"/>
    <mergeCell ref="B14:G14"/>
    <mergeCell ref="B15:G15"/>
    <mergeCell ref="I14:N14"/>
    <mergeCell ref="I15:N15"/>
    <mergeCell ref="P18:U18"/>
    <mergeCell ref="P25:T25"/>
    <mergeCell ref="P26:T26"/>
    <mergeCell ref="P27:T27"/>
    <mergeCell ref="I18:N18"/>
    <mergeCell ref="I25:M25"/>
    <mergeCell ref="I26:M26"/>
    <mergeCell ref="I27:M27"/>
    <mergeCell ref="P28:T28"/>
    <mergeCell ref="P30:U30"/>
    <mergeCell ref="P31:U31"/>
    <mergeCell ref="B34:G34"/>
    <mergeCell ref="B41:F41"/>
    <mergeCell ref="P34:U34"/>
    <mergeCell ref="P41:T41"/>
    <mergeCell ref="B28:F28"/>
    <mergeCell ref="B30:G30"/>
    <mergeCell ref="B31:G31"/>
    <mergeCell ref="I28:M28"/>
    <mergeCell ref="I30:N30"/>
    <mergeCell ref="I31:N31"/>
    <mergeCell ref="B47:G47"/>
    <mergeCell ref="I34:N34"/>
    <mergeCell ref="I41:M41"/>
    <mergeCell ref="I42:M42"/>
    <mergeCell ref="I43:M43"/>
    <mergeCell ref="I44:M44"/>
    <mergeCell ref="I46:N46"/>
    <mergeCell ref="I47:N47"/>
    <mergeCell ref="B42:F42"/>
    <mergeCell ref="B43:F43"/>
    <mergeCell ref="B44:F44"/>
    <mergeCell ref="B46:G46"/>
    <mergeCell ref="P47:U47"/>
    <mergeCell ref="P42:T42"/>
    <mergeCell ref="P43:T43"/>
    <mergeCell ref="P44:T44"/>
    <mergeCell ref="P46:U4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9 Combinações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Nuno Ribas</dc:creator>
  <cp:lastModifiedBy>Nuno Ribas</cp:lastModifiedBy>
  <dcterms:created xsi:type="dcterms:W3CDTF">2026-06-15T20:41:34Z</dcterms:created>
  <dcterms:modified xsi:type="dcterms:W3CDTF">2026-08-20T11:22:01Z</dcterms:modified>
</cp:coreProperties>
</file>