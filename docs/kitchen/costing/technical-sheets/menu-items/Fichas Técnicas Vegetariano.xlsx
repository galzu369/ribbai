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5a07027276a17f/Documentos/Ribbaí/Fichas Técnicas/"/>
    </mc:Choice>
  </mc:AlternateContent>
  <xr:revisionPtr revIDLastSave="216" documentId="8_{6647C79F-42E7-495A-B640-AF9A53E46631}" xr6:coauthVersionLast="47" xr6:coauthVersionMax="47" xr10:uidLastSave="{AA3114DD-20C9-4000-95EC-8335C349BC40}"/>
  <bookViews>
    <workbookView xWindow="-108" yWindow="-108" windowWidth="23256" windowHeight="12456" activeTab="1" xr2:uid="{5708AF3C-D247-4569-906B-52B96D4ED39B}"/>
  </bookViews>
  <sheets>
    <sheet name="Salada Vegan" sheetId="1" r:id="rId1"/>
    <sheet name="Hamburguer Veggie" sheetId="2" r:id="rId2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<sst xmlns="http://schemas.openxmlformats.org/spreadsheetml/2006/main" count="40" uniqueCount="28">
  <si>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Ingredientes</t>
  </si>
  <si>
    <t>Quantidades</t>
  </si>
  <si>
    <t>Preço Venda c/Iva</t>
  </si>
  <si>
    <t>% food cost</t>
  </si>
  <si>
    <t xml:space="preserve">Preparação: </t>
  </si>
  <si>
    <r>
      <t>Serviço:</t>
    </r>
    <r>
      <rPr>
        <sz val="11"/>
        <color theme="1"/>
        <rFont val="Arial"/>
        <family val="2"/>
      </rPr>
      <t xml:space="preserve"> </t>
    </r>
  </si>
  <si>
    <t>Custo Mercadoria s/Iva</t>
  </si>
  <si>
    <t>Preço s/ IVA</t>
  </si>
  <si>
    <t>IVA</t>
  </si>
  <si>
    <t>Preço c/ IVA</t>
  </si>
  <si>
    <t>Custo</t>
  </si>
  <si>
    <t>Preço Venda s/Iva</t>
  </si>
  <si>
    <t>SALADA VEGAN</t>
  </si>
  <si>
    <t>HAMBURGUER VEGGIE</t>
  </si>
  <si>
    <t>Pão hamburguer</t>
  </si>
  <si>
    <t>Hamburguer vegetariano</t>
  </si>
  <si>
    <t>Salada ibérica</t>
  </si>
  <si>
    <t>Cogumelos assados</t>
  </si>
  <si>
    <t>Maionese caju</t>
  </si>
  <si>
    <t>Mix quinoa, grão e tofu</t>
  </si>
  <si>
    <t>Pepino</t>
  </si>
  <si>
    <t>Tomate rama</t>
  </si>
  <si>
    <t>Limão</t>
  </si>
  <si>
    <t>Coentros</t>
  </si>
  <si>
    <t>Cebola frita</t>
  </si>
  <si>
    <t>Azeite</t>
  </si>
  <si>
    <t>Sal fino</t>
  </si>
  <si>
    <t>Pimento vermelho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</si>
</sst>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#,##0.000\ &quot;€&quot;;[Red]\-#,##0.000\ &quot;€&quot;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/>
    <xf numFmtId="0" fontId="4" fillId="2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right" vertical="center"/>
    </xf>
    <xf numFmtId="9" fontId="4" fillId="2" borderId="20" xfId="1" applyFont="1" applyFill="1" applyBorder="1" applyAlignment="1">
      <alignment vertical="center"/>
    </xf>
    <xf numFmtId="164" fontId="4" fillId="0" borderId="14" xfId="2" applyNumberFormat="1" applyFont="1" applyBorder="1" applyAlignment="1">
      <alignment vertical="center"/>
    </xf>
    <xf numFmtId="164" fontId="4" fillId="0" borderId="17" xfId="2" applyNumberFormat="1" applyFont="1" applyBorder="1" applyAlignment="1">
      <alignment vertical="center"/>
    </xf>
    <xf numFmtId="164" fontId="4" fillId="0" borderId="9" xfId="0" applyNumberFormat="1" applyFont="1" applyBorder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/>
    </xf>
    <xf numFmtId="164" fontId="3" fillId="0" borderId="11" xfId="0" applyNumberFormat="1" applyFont="1" applyBorder="1" applyAlignment="1">
      <alignment horizontal="right" vertical="center"/>
    </xf>
    <xf numFmtId="9" fontId="3" fillId="0" borderId="0" xfId="0" applyNumberFormat="1" applyFont="1"/>
    <xf numFmtId="165" fontId="3" fillId="0" borderId="0" xfId="0" applyNumberFormat="1" applyFont="1"/>
    <xf numFmtId="9" fontId="3" fillId="0" borderId="11" xfId="1" applyFont="1" applyBorder="1" applyAlignment="1">
      <alignment horizontal="right" vertical="center"/>
    </xf>
    <xf numFmtId="9" fontId="3" fillId="0" borderId="11" xfId="1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</cellXfs>
  <cellStyles count="3">
    <cellStyle name="Moeda 2" xfId="2" xr:uid="{2168D8E8-6E4D-419B-A444-4F01DC4B83E4}"/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CBE5-799D-4D5E-81CC-10EB6112DF66}">
  <dimension ref="B1:G19"/>
  <sheetViews>
    <sheetView workbookViewId="0">
      <selection activeCell="D5" sqref="D5:D12"/>
    </sheetView>
  </sheetViews>
  <sheetFormatPr defaultRowHeight="14.4" x14ac:dyDescent="0.3"/>
  <cols>
    <col min="2" max="2" width="20.77734375" style="6" customWidth="1"/>
    <col min="3" max="4" width="12.77734375" style="6" customWidth="1"/>
    <col min="5" max="5" width="6.77734375" style="6" customWidth="1"/>
    <col min="6" max="7" width="12.77734375" style="6" customWidth="1"/>
  </cols>
  <sheetData>
    <row r="1" spans="2:7" ht="15" thickBot="1" x14ac:dyDescent="0.35"/>
    <row r="2" spans="2:7" ht="18" thickBot="1" x14ac:dyDescent="0.35">
      <c r="B2" s="23" t="s">
        <v>12</v>
      </c>
      <c r="C2" s="24"/>
      <c r="D2" s="24"/>
      <c r="E2" s="24"/>
      <c r="F2" s="24"/>
      <c r="G2" s="25"/>
    </row>
    <row r="3" spans="2:7" ht="15" thickBot="1" x14ac:dyDescent="0.35">
      <c r="B3" s="1"/>
      <c r="C3" s="1"/>
      <c r="D3" s="1"/>
      <c r="E3" s="1"/>
      <c r="F3" s="1"/>
      <c r="G3" s="1"/>
    </row>
    <row r="4" spans="2:7" ht="15" thickTop="1" x14ac:dyDescent="0.3">
      <c r="B4" s="2" t="s">
        <v>0</v>
      </c>
      <c r="C4" s="3" t="s">
        <v>1</v>
      </c>
      <c r="D4" s="7" t="s">
        <v>7</v>
      </c>
      <c r="E4" s="7" t="s">
        <v>8</v>
      </c>
      <c r="F4" s="7" t="s">
        <v>9</v>
      </c>
      <c r="G4" s="4" t="s">
        <v>10</v>
      </c>
    </row>
    <row r="5" spans="2:7" x14ac:dyDescent="0.3">
      <c r="B5" s="5" t="s">
        <v>19</v>
      </c>
      <c r="C5" s="8">
        <v>0.4</v>
      </c>
      <c r="D5" s="14">
        <v>4.25672</v>
      </c>
      <c r="E5" s="18">
        <v>0.13</v>
      </c>
      <c r="F5" s="13">
        <f>D5+(D5*E5)</f>
        <v>4.8100936</v>
      </c>
      <c r="G5" s="12">
        <f>C5*D5</f>
        <v>1.702688</v>
      </c>
    </row>
    <row r="6" spans="2:7" x14ac:dyDescent="0.3">
      <c r="B6" s="5" t="s">
        <v>20</v>
      </c>
      <c r="C6" s="8">
        <v>0.04</v>
      </c>
      <c r="D6" s="14">
        <v>2.4</v>
      </c>
      <c r="E6" s="18">
        <v>0.06</v>
      </c>
      <c r="F6" s="13">
        <f t="shared" ref="F6:F12" si="0">D6+(D6*E6)</f>
        <v>2.544</v>
      </c>
      <c r="G6" s="12">
        <f t="shared" ref="G6:G12" si="1">C6*D6</f>
        <v>0.096</v>
      </c>
    </row>
    <row r="7" spans="2:7" x14ac:dyDescent="0.3">
      <c r="B7" s="5" t="s">
        <v>21</v>
      </c>
      <c r="C7" s="8">
        <v>0.06</v>
      </c>
      <c r="D7" s="14">
        <v>2.4</v>
      </c>
      <c r="E7" s="18">
        <v>0.06</v>
      </c>
      <c r="F7" s="13">
        <f t="shared" si="0"/>
        <v>2.544</v>
      </c>
      <c r="G7" s="12">
        <f t="shared" si="1"/>
        <v>0.144</v>
      </c>
    </row>
    <row r="8" spans="2:7" x14ac:dyDescent="0.3">
      <c r="B8" s="5" t="s">
        <v>22</v>
      </c>
      <c r="C8" s="8">
        <v>0.04</v>
      </c>
      <c r="D8" s="14">
        <v>1.6</v>
      </c>
      <c r="E8" s="18">
        <v>0.06</v>
      </c>
      <c r="F8" s="13">
        <f t="shared" si="0"/>
        <v>1.6960000000000002</v>
      </c>
      <c r="G8" s="12">
        <f t="shared" si="1"/>
        <v>0.064</v>
      </c>
    </row>
    <row r="9" spans="2:7" x14ac:dyDescent="0.3">
      <c r="B9" s="5" t="s">
        <v>23</v>
      </c>
      <c r="C9" s="8">
        <v>4.0000000000000001E-3</v>
      </c>
      <c r="D9" s="14">
        <v>3.4</v>
      </c>
      <c r="E9" s="18">
        <v>0.06</v>
      </c>
      <c r="F9" s="13">
        <f t="shared" si="0"/>
        <v>3.604</v>
      </c>
      <c r="G9" s="12">
        <f t="shared" si="1"/>
        <v>0.0136</v>
      </c>
    </row>
    <row r="10" spans="2:7" x14ac:dyDescent="0.3">
      <c r="B10" s="5" t="s">
        <v>24</v>
      </c>
      <c r="C10" s="8">
        <v>6.0000000000000001E-3</v>
      </c>
      <c r="D10" s="14">
        <v>5.06</v>
      </c>
      <c r="E10" s="18">
        <v>0.23</v>
      </c>
      <c r="F10" s="13">
        <f t="shared" si="0"/>
        <v>6.2238</v>
      </c>
      <c r="G10" s="12">
        <f t="shared" si="1"/>
        <v>0.030359999999999998</v>
      </c>
    </row>
    <row r="11" spans="2:7" x14ac:dyDescent="0.3">
      <c r="B11" s="5" t="s">
        <v>25</v>
      </c>
      <c r="C11" s="8">
        <v>0.01</v>
      </c>
      <c r="D11" s="14">
        <v>2.98</v>
      </c>
      <c r="E11" s="18">
        <v>0.06</v>
      </c>
      <c r="F11" s="13">
        <f t="shared" si="0"/>
        <v>3.1588</v>
      </c>
      <c r="G11" s="12">
        <f t="shared" si="1"/>
        <v>0.0298</v>
      </c>
    </row>
    <row r="12" spans="2:7" ht="15" thickBot="1" x14ac:dyDescent="0.35">
      <c r="B12" s="5" t="s">
        <v>26</v>
      </c>
      <c r="C12" s="8">
        <v>0.05</v>
      </c>
      <c r="D12" s="14">
        <v>1.4</v>
      </c>
      <c r="E12" s="18">
        <v>0.06</v>
      </c>
      <c r="F12" s="13">
        <f t="shared" si="0"/>
        <v>1.484</v>
      </c>
      <c r="G12" s="12">
        <f t="shared" si="1"/>
        <v>0.06999999999999999</v>
      </c>
    </row>
    <row r="13" spans="2:7" ht="15" thickTop="1" x14ac:dyDescent="0.3">
      <c r="B13" s="26" t="s">
        <v>6</v>
      </c>
      <c r="C13" s="27"/>
      <c r="D13" s="27"/>
      <c r="E13" s="27"/>
      <c r="F13" s="27"/>
      <c r="G13" s="10">
        <f>SUM(G5:G12)</f>
        <v>2.1504479999999995</v>
      </c>
    </row>
    <row r="14" spans="2:7" x14ac:dyDescent="0.3">
      <c r="B14" s="28" t="s">
        <v>2</v>
      </c>
      <c r="C14" s="29"/>
      <c r="D14" s="29"/>
      <c r="E14" s="29"/>
      <c r="F14" s="29"/>
      <c r="G14" s="11">
        <v>14</v>
      </c>
    </row>
    <row r="15" spans="2:7" x14ac:dyDescent="0.3">
      <c r="B15" s="30" t="s">
        <v>11</v>
      </c>
      <c r="C15" s="31"/>
      <c r="D15" s="31"/>
      <c r="E15" s="31"/>
      <c r="F15" s="31"/>
      <c r="G15" s="11">
        <f>G14/1.13</f>
        <v>12.389380530973453</v>
      </c>
    </row>
    <row r="16" spans="2:7" ht="15" thickBot="1" x14ac:dyDescent="0.35">
      <c r="B16" s="19" t="s">
        <v>3</v>
      </c>
      <c r="C16" s="20"/>
      <c r="D16" s="20"/>
      <c r="E16" s="20"/>
      <c r="F16" s="20"/>
      <c r="G16" s="9">
        <f>G13/G15</f>
        <v>0.17357187428571422</v>
      </c>
    </row>
    <row r="17" spans="2:7" ht="15" thickTop="1" x14ac:dyDescent="0.3">
      <c r="B17" s="1"/>
      <c r="C17" s="1"/>
      <c r="D17" s="1"/>
      <c r="E17" s="1"/>
      <c r="F17" s="1"/>
      <c r="G17" s="1"/>
    </row>
    <row r="18" spans="2:7" x14ac:dyDescent="0.3">
      <c r="B18" s="21" t="s">
        <v>4</v>
      </c>
      <c r="C18" s="21"/>
      <c r="D18" s="21"/>
      <c r="E18" s="21"/>
      <c r="F18" s="21"/>
      <c r="G18" s="21"/>
    </row>
    <row r="19" spans="2:7" x14ac:dyDescent="0.3">
      <c r="B19" s="22" t="s">
        <v>5</v>
      </c>
      <c r="C19" s="22"/>
      <c r="D19" s="22"/>
      <c r="E19" s="22"/>
      <c r="F19" s="22"/>
      <c r="G19" s="22"/>
    </row>
  </sheetData>
  <mergeCells count="7">
    <mergeCell ref="B16:F16"/>
    <mergeCell ref="B18:G18"/>
    <mergeCell ref="B19:G19"/>
    <mergeCell ref="B2:G2"/>
    <mergeCell ref="B13:F13"/>
    <mergeCell ref="B14:F14"/>
    <mergeCell ref="B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FE575-3BC6-4116-B693-E6F08419930B}">
  <dimension ref="B1:G23"/>
  <sheetViews>
    <sheetView tabSelected="1" workbookViewId="0">
      <selection activeCell="D10" sqref="D10"/>
    </sheetView>
  </sheetViews>
  <sheetFormatPr defaultRowHeight="14.4" x14ac:dyDescent="0.3"/>
  <cols>
    <col min="2" max="2" width="20.77734375" style="6" customWidth="1"/>
    <col min="3" max="4" width="12.77734375" style="6" customWidth="1"/>
    <col min="5" max="5" width="6.77734375" style="6" customWidth="1"/>
    <col min="6" max="7" width="12.77734375" style="6" customWidth="1"/>
  </cols>
  <sheetData>
    <row r="1" spans="2:7" ht="15" thickBot="1" x14ac:dyDescent="0.35"/>
    <row r="2" spans="2:7" ht="18" thickBot="1" x14ac:dyDescent="0.35">
      <c r="B2" s="23" t="s">
        <v>13</v>
      </c>
      <c r="C2" s="24"/>
      <c r="D2" s="24"/>
      <c r="E2" s="24"/>
      <c r="F2" s="24"/>
      <c r="G2" s="25"/>
    </row>
    <row r="3" spans="2:7" ht="15" thickBot="1" x14ac:dyDescent="0.35">
      <c r="B3" s="1"/>
      <c r="C3" s="1"/>
      <c r="D3" s="1"/>
      <c r="E3" s="1"/>
      <c r="F3" s="1"/>
      <c r="G3" s="1"/>
    </row>
    <row r="4" spans="2:7" ht="15" thickTop="1" x14ac:dyDescent="0.3">
      <c r="B4" s="2" t="s">
        <v>0</v>
      </c>
      <c r="C4" s="3" t="s">
        <v>1</v>
      </c>
      <c r="D4" s="7" t="s">
        <v>7</v>
      </c>
      <c r="E4" s="7" t="s">
        <v>8</v>
      </c>
      <c r="F4" s="7" t="s">
        <v>9</v>
      </c>
      <c r="G4" s="4" t="s">
        <v>10</v>
      </c>
    </row>
    <row r="5" spans="2:7" x14ac:dyDescent="0.3">
      <c r="B5" s="5" t="s">
        <v>14</v>
      </c>
      <c r="C5" s="8">
        <v>1</v>
      </c>
      <c r="D5" s="14">
        <v>0.7075471698113207</v>
      </c>
      <c r="E5" s="17">
        <v>0.06</v>
      </c>
      <c r="F5" s="13">
        <f>D5+(D5*E5)</f>
        <v>0.75</v>
      </c>
      <c r="G5" s="12">
        <f>C5*D5</f>
        <v>0.7075471698113207</v>
      </c>
    </row>
    <row r="6" spans="2:7" x14ac:dyDescent="0.3">
      <c r="B6" s="5" t="s">
        <v>15</v>
      </c>
      <c r="C6" s="8">
        <v>1</v>
      </c>
      <c r="D6" s="14">
        <v>1.13</v>
      </c>
      <c r="E6" s="17">
        <v>0.23</v>
      </c>
      <c r="F6" s="13">
        <f t="shared" ref="F6:F10" si="0">D6+(D6*E6)</f>
        <v>1.3899</v>
      </c>
      <c r="G6" s="12">
        <f t="shared" ref="G6:G10" si="1">C6*D6</f>
        <v>1.13</v>
      </c>
    </row>
    <row r="7" spans="2:7" x14ac:dyDescent="0.3">
      <c r="B7" s="5" t="s">
        <v>16</v>
      </c>
      <c r="C7" s="8">
        <v>0.01</v>
      </c>
      <c r="D7" s="14">
        <v>8.8</v>
      </c>
      <c r="E7" s="17">
        <v>0.06</v>
      </c>
      <c r="F7" s="13">
        <f t="shared" si="0"/>
        <v>9.328000000000001</v>
      </c>
      <c r="G7" s="12">
        <f t="shared" si="1"/>
        <v>0.08800000000000001</v>
      </c>
    </row>
    <row r="8" spans="2:7" x14ac:dyDescent="0.3">
      <c r="B8" s="5" t="s">
        <v>27</v>
      </c>
      <c r="C8" s="8">
        <v>0.01</v>
      </c>
      <c r="D8" s="14">
        <v>3.3</v>
      </c>
      <c r="E8" s="17">
        <v>0.06</v>
      </c>
      <c r="F8" s="13">
        <f t="shared" si="0"/>
        <v>3.4979999999999998</v>
      </c>
      <c r="G8" s="12">
        <f t="shared" si="1"/>
        <v>0.033</v>
      </c>
    </row>
    <row r="9" spans="2:7" x14ac:dyDescent="0.3">
      <c r="B9" s="5" t="s">
        <v>17</v>
      </c>
      <c r="C9" s="8">
        <v>0.01</v>
      </c>
      <c r="D9" s="14">
        <v>3.848285</v>
      </c>
      <c r="E9" s="17">
        <v>0.13</v>
      </c>
      <c r="F9" s="13">
        <f t="shared" si="0"/>
        <v>4.34856205</v>
      </c>
      <c r="G9" s="12">
        <f t="shared" si="1"/>
        <v>0.038482850000000006</v>
      </c>
    </row>
    <row r="10" spans="2:7" ht="15" thickBot="1" x14ac:dyDescent="0.35">
      <c r="B10" s="5" t="s">
        <v>18</v>
      </c>
      <c r="C10" s="8">
        <v>0.02</v>
      </c>
      <c r="D10" s="14">
        <v>5.026619999999999</v>
      </c>
      <c r="E10" s="17">
        <v>0.13</v>
      </c>
      <c r="F10" s="13">
        <f t="shared" si="0"/>
        <v>5.680080599999999</v>
      </c>
      <c r="G10" s="12">
        <f t="shared" si="1"/>
        <v>0.1005324</v>
      </c>
    </row>
    <row r="11" spans="2:7" ht="15" thickTop="1" x14ac:dyDescent="0.3">
      <c r="B11" s="26" t="s">
        <v>6</v>
      </c>
      <c r="C11" s="27"/>
      <c r="D11" s="27"/>
      <c r="E11" s="27"/>
      <c r="F11" s="27"/>
      <c r="G11" s="10">
        <f>SUM(G5:G10)</f>
        <v>2.0975624198113207</v>
      </c>
    </row>
    <row r="12" spans="2:7" x14ac:dyDescent="0.3">
      <c r="B12" s="28" t="s">
        <v>2</v>
      </c>
      <c r="C12" s="29"/>
      <c r="D12" s="29"/>
      <c r="E12" s="29"/>
      <c r="F12" s="29"/>
      <c r="G12" s="11">
        <v>16</v>
      </c>
    </row>
    <row r="13" spans="2:7" x14ac:dyDescent="0.3">
      <c r="B13" s="30" t="s">
        <v>11</v>
      </c>
      <c r="C13" s="31"/>
      <c r="D13" s="31"/>
      <c r="E13" s="31"/>
      <c r="F13" s="31"/>
      <c r="G13" s="11">
        <f>G12/1.13</f>
        <v>14.159292035398231</v>
      </c>
    </row>
    <row r="14" spans="2:7" ht="15" thickBot="1" x14ac:dyDescent="0.35">
      <c r="B14" s="19" t="s">
        <v>3</v>
      </c>
      <c r="C14" s="20"/>
      <c r="D14" s="20"/>
      <c r="E14" s="20"/>
      <c r="F14" s="20"/>
      <c r="G14" s="9">
        <f>G11/G13</f>
        <v>0.14814034589917452</v>
      </c>
    </row>
    <row r="15" spans="2:7" ht="15" thickTop="1" x14ac:dyDescent="0.3">
      <c r="B15" s="1"/>
      <c r="C15" s="1"/>
      <c r="D15" s="1"/>
      <c r="E15" s="1"/>
      <c r="F15" s="1"/>
      <c r="G15" s="1"/>
    </row>
    <row r="16" spans="2:7" x14ac:dyDescent="0.3">
      <c r="B16" s="21" t="s">
        <v>4</v>
      </c>
      <c r="C16" s="21"/>
      <c r="D16" s="21"/>
      <c r="E16" s="21"/>
      <c r="F16" s="21"/>
      <c r="G16" s="21"/>
    </row>
    <row r="17" spans="2:7" x14ac:dyDescent="0.3">
      <c r="B17" s="22" t="s">
        <v>5</v>
      </c>
      <c r="C17" s="22"/>
      <c r="D17" s="22"/>
      <c r="E17" s="22"/>
      <c r="F17" s="22"/>
      <c r="G17" s="22"/>
    </row>
    <row r="21" spans="2:7" x14ac:dyDescent="0.3">
      <c r="D21" s="16"/>
      <c r="E21" s="15"/>
      <c r="F21" s="16"/>
    </row>
    <row r="22" spans="2:7" x14ac:dyDescent="0.3">
      <c r="D22" s="16"/>
      <c r="E22" s="15"/>
      <c r="F22" s="16"/>
    </row>
    <row r="23" spans="2:7" x14ac:dyDescent="0.3">
      <c r="D23" s="16"/>
      <c r="E23" s="15"/>
      <c r="F23" s="16"/>
    </row>
  </sheetData>
  <mergeCells count="7">
    <mergeCell ref="B14:F14"/>
    <mergeCell ref="B16:G16"/>
    <mergeCell ref="B17:G17"/>
    <mergeCell ref="B2:G2"/>
    <mergeCell ref="B11:F11"/>
    <mergeCell ref="B12:F12"/>
    <mergeCell ref="B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Salada Vegan</vt:lpstr>
      <vt:lpstr>Hamburguer Veggie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Ribas</dc:creator>
  <cp:lastModifiedBy>Nuno Ribas</cp:lastModifiedBy>
  <dcterms:created xsi:type="dcterms:W3CDTF">2026-06-15T20:11:33Z</dcterms:created>
  <dcterms:modified xsi:type="dcterms:W3CDTF">2026-07-23T14:36:53Z</dcterms:modified>
</cp:coreProperties>
</file>