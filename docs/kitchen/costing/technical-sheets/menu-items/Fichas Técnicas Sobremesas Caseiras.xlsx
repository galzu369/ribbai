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RIBB.AI/docs/kitchen/costing/technical-sheets/menu-items/"/>
    </mc:Choice>
  </mc:AlternateContent>
  <xr:revisionPtr revIDLastSave="161" documentId="13_ncr:1_{F705966A-6293-4804-882C-A56AA2FB7400}" xr6:coauthVersionLast="47" xr6:coauthVersionMax="47" xr10:uidLastSave="{CD023520-AB74-4028-A5B0-FF63D82C4E99}"/>
  <bookViews>
    <workbookView xWindow="-108" yWindow="-108" windowWidth="23256" windowHeight="12456" activeTab="1" xr2:uid="{A1B6E1C2-7068-4039-A676-CAC1233C6FD8}"/>
  </bookViews>
  <sheets>
    <sheet name="Mousse" sheetId="1" r:id="rId1"/>
    <sheet name="Bolo Banana" sheetId="2" r:id="rId2"/>
    <sheet name="Cheesecake" sheetId="3" r:id="rId3"/>
    <sheet name="Fruta" sheetId="4" r:id="rId4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<sst xmlns="http://schemas.openxmlformats.org/spreadsheetml/2006/main" count="116" uniqueCount="45">
  <si>
    <t>Ingredientes</t>
  </si>
  <si>
    <t>Quantidades</t>
  </si>
  <si>
    <t>Preço Venda c/Iva</t>
  </si>
  <si>
    <t>% food cost</t>
  </si>
  <si>
    <t xml:space="preserve">Preparação: </t>
  </si>
  <si>
    <r>
      <t>Serviço:</t>
    </r>
    <r>
      <rPr>
        <sz val="11"/>
        <color theme="1"/>
        <rFont val="Arial"/>
        <family val="2"/>
      </rPr>
      <t xml:space="preserve"> </t>
    </r>
  </si>
  <si>
    <t>FRUTA DA ÉPOCA</t>
  </si>
  <si>
    <t>Preço s/ IVA</t>
  </si>
  <si>
    <t>IVA</t>
  </si>
  <si>
    <t>Preço c/ IVA</t>
  </si>
  <si>
    <t>Custo</t>
  </si>
  <si>
    <t>Custo Mercadoria s/Iva</t>
  </si>
  <si>
    <t>Preço Venda s/Iva</t>
  </si>
  <si>
    <t>Banana</t>
  </si>
  <si>
    <t>Manteiga</t>
  </si>
  <si>
    <t>Ovos</t>
  </si>
  <si>
    <t>Canela pó</t>
  </si>
  <si>
    <t>Farinha c/ fermento</t>
  </si>
  <si>
    <t>Leite aveia</t>
  </si>
  <si>
    <t>BOLO DE BANANA COM GELADO (DOSE)</t>
  </si>
  <si>
    <t>Gelado baunilha</t>
  </si>
  <si>
    <t>Leite condensado cozido</t>
  </si>
  <si>
    <t>Bolo de banana (dose)</t>
  </si>
  <si>
    <t>CHEESECAKE (DOSE)</t>
  </si>
  <si>
    <t>BOLO DE BANANA COM GELADO (18 DOSES)</t>
  </si>
  <si>
    <t>CHEESECAKE (12 DOSES)</t>
  </si>
  <si>
    <t>MOUSSE DE CHOCOLATE (15 DOSES)</t>
  </si>
  <si>
    <t>MOUSSE DE CHOCOLATE (DOSE)</t>
  </si>
  <si>
    <t>Queijo creme</t>
  </si>
  <si>
    <t>Iogurte natural</t>
  </si>
  <si>
    <t>Queijo ricotta</t>
  </si>
  <si>
    <t>Limão</t>
  </si>
  <si>
    <t>Água</t>
  </si>
  <si>
    <t>Extrato baunilha</t>
  </si>
  <si>
    <t>Amido de milho</t>
  </si>
  <si>
    <t>Bolacha maria</t>
  </si>
  <si>
    <t>Chocolate culinária 70%</t>
  </si>
  <si>
    <t>Flôr de sal</t>
  </si>
  <si>
    <t>Açúcar branco</t>
  </si>
  <si>
    <t>Compota frutos vermelhos</t>
  </si>
  <si>
    <t>Praliné amendoim</t>
  </si>
  <si>
    <t>Cheesecake (dose)</t>
  </si>
  <si>
    <t>Mousse de chocolate</t>
  </si>
  <si>
    <t>-</t>
  </si>
  <si>
    <t>Baking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</si>
</sst>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0" xfId="0" applyFont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9" fontId="4" fillId="2" borderId="20" xfId="1" applyFont="1" applyFill="1" applyBorder="1" applyAlignment="1">
      <alignment vertical="center"/>
    </xf>
    <xf numFmtId="164" fontId="4" fillId="0" borderId="14" xfId="2" applyNumberFormat="1" applyFont="1" applyBorder="1" applyAlignment="1">
      <alignment vertical="center"/>
    </xf>
    <xf numFmtId="164" fontId="4" fillId="0" borderId="17" xfId="2" applyNumberFormat="1" applyFont="1" applyBorder="1" applyAlignment="1">
      <alignment vertical="center"/>
    </xf>
    <xf numFmtId="164" fontId="4" fillId="0" borderId="11" xfId="0" applyNumberFormat="1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164" fontId="3" fillId="0" borderId="9" xfId="0" applyNumberFormat="1" applyFont="1" applyBorder="1" applyAlignment="1">
      <alignment horizontal="right" vertical="center"/>
    </xf>
    <xf numFmtId="164" fontId="4" fillId="0" borderId="14" xfId="2" applyNumberFormat="1" applyFont="1" applyBorder="1" applyAlignment="1">
      <alignment horizontal="right" vertical="center"/>
    </xf>
    <xf numFmtId="164" fontId="4" fillId="0" borderId="17" xfId="2" applyNumberFormat="1" applyFont="1" applyBorder="1" applyAlignment="1">
      <alignment horizontal="right" vertical="center"/>
    </xf>
    <xf numFmtId="165" fontId="3" fillId="0" borderId="9" xfId="0" applyNumberFormat="1" applyFont="1" applyBorder="1" applyAlignment="1">
      <alignment horizontal="righ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165" fontId="3" fillId="0" borderId="24" xfId="0" applyNumberFormat="1" applyFont="1" applyBorder="1" applyAlignment="1">
      <alignment horizontal="right" vertical="center"/>
    </xf>
    <xf numFmtId="164" fontId="3" fillId="0" borderId="24" xfId="0" applyNumberFormat="1" applyFont="1" applyBorder="1" applyAlignment="1">
      <alignment horizontal="right" vertical="center"/>
    </xf>
    <xf numFmtId="165" fontId="3" fillId="0" borderId="21" xfId="0" applyNumberFormat="1" applyFont="1" applyBorder="1" applyAlignment="1">
      <alignment horizontal="right" vertical="center"/>
    </xf>
    <xf numFmtId="164" fontId="3" fillId="0" borderId="21" xfId="0" applyNumberFormat="1" applyFont="1" applyBorder="1" applyAlignment="1">
      <alignment horizontal="right" vertical="center"/>
    </xf>
    <xf numFmtId="9" fontId="3" fillId="0" borderId="9" xfId="1" applyFont="1" applyBorder="1" applyAlignment="1">
      <alignment horizontal="right" vertical="center"/>
    </xf>
    <xf numFmtId="9" fontId="3" fillId="0" borderId="21" xfId="1" applyFont="1" applyBorder="1" applyAlignment="1">
      <alignment horizontal="right" vertical="center"/>
    </xf>
    <xf numFmtId="9" fontId="3" fillId="0" borderId="24" xfId="1" applyFont="1" applyBorder="1" applyAlignment="1">
      <alignment horizontal="right" vertical="center"/>
    </xf>
    <xf numFmtId="9" fontId="3" fillId="0" borderId="9" xfId="1" applyFont="1" applyBorder="1" applyAlignment="1">
      <alignment horizontal="center" vertical="center"/>
    </xf>
    <xf numFmtId="9" fontId="3" fillId="0" borderId="21" xfId="1" applyFont="1" applyBorder="1" applyAlignment="1">
      <alignment horizontal="center" vertical="center"/>
    </xf>
    <xf numFmtId="9" fontId="3" fillId="0" borderId="24" xfId="1" applyFont="1" applyBorder="1" applyAlignment="1">
      <alignment horizontal="center" vertical="center"/>
    </xf>
    <xf numFmtId="164" fontId="4" fillId="0" borderId="17" xfId="1" applyNumberFormat="1" applyFont="1" applyBorder="1" applyAlignment="1">
      <alignment horizontal="righ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3">
    <cellStyle name="Moeda 2" xfId="2" xr:uid="{1BE0DC15-1CFA-43A1-B870-362FB6C4FAF4}"/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DE63-6793-4720-9EDE-1DFF99CAF701}">
  <dimension ref="B1:N14"/>
  <sheetViews>
    <sheetView workbookViewId="0">
      <selection activeCell="I15" activeCellId="1" sqref="B13:G14 I15:N16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  <col min="9" max="9" width="20.77734375" style="5" customWidth="1"/>
    <col min="10" max="11" width="12.77734375" style="5" customWidth="1"/>
    <col min="12" max="12" width="6.77734375" style="5" customWidth="1"/>
    <col min="13" max="14" width="12.77734375" style="5" customWidth="1"/>
  </cols>
  <sheetData>
    <row r="1" spans="2:14" ht="15" thickBot="1" x14ac:dyDescent="0.35"/>
    <row r="2" spans="2:14" ht="18" thickBot="1" x14ac:dyDescent="0.35">
      <c r="B2" s="33" t="s">
        <v>27</v>
      </c>
      <c r="C2" s="34"/>
      <c r="D2" s="34"/>
      <c r="E2" s="34"/>
      <c r="F2" s="34"/>
      <c r="G2" s="35"/>
      <c r="I2" s="33" t="s">
        <v>26</v>
      </c>
      <c r="J2" s="34"/>
      <c r="K2" s="34"/>
      <c r="L2" s="34"/>
      <c r="M2" s="34"/>
      <c r="N2" s="35"/>
    </row>
    <row r="3" spans="2:14" ht="15" thickBot="1" x14ac:dyDescent="0.35">
      <c r="B3" s="1"/>
      <c r="C3" s="1"/>
      <c r="D3" s="1"/>
      <c r="E3" s="1"/>
      <c r="F3" s="1"/>
      <c r="G3" s="1"/>
      <c r="I3" s="1"/>
      <c r="J3" s="1"/>
      <c r="K3" s="1"/>
      <c r="L3" s="1"/>
      <c r="M3" s="1"/>
      <c r="N3" s="1"/>
    </row>
    <row r="4" spans="2:14" ht="15" thickTop="1" x14ac:dyDescent="0.3">
      <c r="B4" s="2" t="s">
        <v>0</v>
      </c>
      <c r="C4" s="3" t="s">
        <v>1</v>
      </c>
      <c r="D4" s="6" t="s">
        <v>7</v>
      </c>
      <c r="E4" s="6" t="s">
        <v>8</v>
      </c>
      <c r="F4" s="6" t="s">
        <v>9</v>
      </c>
      <c r="G4" s="4" t="s">
        <v>10</v>
      </c>
      <c r="I4" s="2" t="s">
        <v>0</v>
      </c>
      <c r="J4" s="3" t="s">
        <v>1</v>
      </c>
      <c r="K4" s="6" t="s">
        <v>7</v>
      </c>
      <c r="L4" s="6" t="s">
        <v>8</v>
      </c>
      <c r="M4" s="6" t="s">
        <v>9</v>
      </c>
      <c r="N4" s="4" t="s">
        <v>10</v>
      </c>
    </row>
    <row r="5" spans="2:14" x14ac:dyDescent="0.3">
      <c r="B5" s="7" t="s">
        <v>42</v>
      </c>
      <c r="C5" s="17">
        <v>6.6666666666666666E-2</v>
      </c>
      <c r="D5" s="14">
        <f>N10</f>
        <v>6.2848500000000005</v>
      </c>
      <c r="E5" s="24">
        <v>0.13</v>
      </c>
      <c r="F5" s="13">
        <f>D5+(D5*E5)</f>
        <v>7.1018805000000009</v>
      </c>
      <c r="G5" s="12">
        <f>C5*D5</f>
        <v>0.41899000000000003</v>
      </c>
      <c r="I5" s="7" t="s">
        <v>36</v>
      </c>
      <c r="J5" s="8">
        <v>0.6</v>
      </c>
      <c r="K5" s="14">
        <v>1.645</v>
      </c>
      <c r="L5" s="27">
        <v>0.23</v>
      </c>
      <c r="M5" s="13">
        <f>K5+(K5*L5)</f>
        <v>2.0233500000000002</v>
      </c>
      <c r="N5" s="12">
        <f>J5*K5</f>
        <v>0.98699999999999999</v>
      </c>
    </row>
    <row r="6" spans="2:14" x14ac:dyDescent="0.3">
      <c r="B6" s="18" t="s">
        <v>40</v>
      </c>
      <c r="C6" s="22">
        <v>5.0000000000000001E-3</v>
      </c>
      <c r="D6" s="23">
        <v>2.2130000000000001</v>
      </c>
      <c r="E6" s="25">
        <v>0.13</v>
      </c>
      <c r="F6" s="13">
        <f t="shared" ref="F6:F7" si="0">D6+(D6*E6)</f>
        <v>2.5006900000000001</v>
      </c>
      <c r="G6" s="12">
        <f t="shared" ref="G6:G7" si="1">C6*D6</f>
        <v>1.1065E-2</v>
      </c>
      <c r="I6" s="7" t="s">
        <v>14</v>
      </c>
      <c r="J6" s="8">
        <v>0.4</v>
      </c>
      <c r="K6" s="14">
        <v>2.65</v>
      </c>
      <c r="L6" s="27">
        <v>0.06</v>
      </c>
      <c r="M6" s="13">
        <f t="shared" ref="M6:M9" si="2">K6+(K6*L6)</f>
        <v>2.8089999999999997</v>
      </c>
      <c r="N6" s="12">
        <f t="shared" ref="N6:N9" si="3">J6*K6</f>
        <v>1.06</v>
      </c>
    </row>
    <row r="7" spans="2:14" ht="15" thickBot="1" x14ac:dyDescent="0.35">
      <c r="B7" s="19" t="s">
        <v>37</v>
      </c>
      <c r="C7" s="20">
        <v>2E-3</v>
      </c>
      <c r="D7" s="21">
        <v>9.27</v>
      </c>
      <c r="E7" s="26">
        <v>0.06</v>
      </c>
      <c r="F7" s="13">
        <f t="shared" si="0"/>
        <v>9.8262</v>
      </c>
      <c r="G7" s="12">
        <f t="shared" si="1"/>
        <v>1.8540000000000001E-2</v>
      </c>
      <c r="I7" s="7" t="s">
        <v>37</v>
      </c>
      <c r="J7" s="8">
        <v>5.0000000000000001E-3</v>
      </c>
      <c r="K7" s="14">
        <v>9.27</v>
      </c>
      <c r="L7" s="27">
        <v>0.06</v>
      </c>
      <c r="M7" s="13">
        <f t="shared" si="2"/>
        <v>9.8262</v>
      </c>
      <c r="N7" s="12">
        <f t="shared" si="3"/>
        <v>4.6349999999999995E-2</v>
      </c>
    </row>
    <row r="8" spans="2:14" ht="15" thickTop="1" x14ac:dyDescent="0.3">
      <c r="B8" s="36" t="s">
        <v>11</v>
      </c>
      <c r="C8" s="37"/>
      <c r="D8" s="37"/>
      <c r="E8" s="37"/>
      <c r="F8" s="37"/>
      <c r="G8" s="10">
        <f>SUM(G5:G7)</f>
        <v>0.44859500000000002</v>
      </c>
      <c r="I8" s="7" t="s">
        <v>38</v>
      </c>
      <c r="J8" s="8">
        <v>0.25</v>
      </c>
      <c r="K8" s="14">
        <v>0.76600000000000001</v>
      </c>
      <c r="L8" s="27">
        <v>0.06</v>
      </c>
      <c r="M8" s="13">
        <f t="shared" si="2"/>
        <v>0.81196000000000002</v>
      </c>
      <c r="N8" s="12">
        <f t="shared" si="3"/>
        <v>0.1915</v>
      </c>
    </row>
    <row r="9" spans="2:14" ht="15" thickBot="1" x14ac:dyDescent="0.35">
      <c r="B9" s="38" t="s">
        <v>2</v>
      </c>
      <c r="C9" s="39"/>
      <c r="D9" s="39"/>
      <c r="E9" s="39"/>
      <c r="F9" s="39"/>
      <c r="G9" s="11">
        <v>6</v>
      </c>
      <c r="I9" s="7" t="s">
        <v>15</v>
      </c>
      <c r="J9" s="8">
        <v>20</v>
      </c>
      <c r="K9" s="14">
        <v>0.2</v>
      </c>
      <c r="L9" s="27">
        <v>0.06</v>
      </c>
      <c r="M9" s="13">
        <f t="shared" si="2"/>
        <v>0.21200000000000002</v>
      </c>
      <c r="N9" s="12">
        <f t="shared" si="3"/>
        <v>4</v>
      </c>
    </row>
    <row r="10" spans="2:14" ht="15" thickTop="1" x14ac:dyDescent="0.3">
      <c r="B10" s="40" t="s">
        <v>12</v>
      </c>
      <c r="C10" s="41"/>
      <c r="D10" s="41"/>
      <c r="E10" s="41"/>
      <c r="F10" s="41"/>
      <c r="G10" s="11">
        <f>G9/1.13</f>
        <v>5.3097345132743365</v>
      </c>
      <c r="I10" s="36" t="s">
        <v>11</v>
      </c>
      <c r="J10" s="37"/>
      <c r="K10" s="37"/>
      <c r="L10" s="37"/>
      <c r="M10" s="37"/>
      <c r="N10" s="10">
        <f>SUM(N5:N9)</f>
        <v>6.2848500000000005</v>
      </c>
    </row>
    <row r="11" spans="2:14" ht="15" thickBot="1" x14ac:dyDescent="0.35">
      <c r="B11" s="31" t="s">
        <v>3</v>
      </c>
      <c r="C11" s="32"/>
      <c r="D11" s="32"/>
      <c r="E11" s="32"/>
      <c r="F11" s="32"/>
      <c r="G11" s="9">
        <f>G8/G10</f>
        <v>8.4485391666666673E-2</v>
      </c>
      <c r="I11" s="38" t="s">
        <v>2</v>
      </c>
      <c r="J11" s="39"/>
      <c r="K11" s="39"/>
      <c r="L11" s="39"/>
      <c r="M11" s="39"/>
      <c r="N11" s="11">
        <v>6</v>
      </c>
    </row>
    <row r="12" spans="2:14" ht="15" thickTop="1" x14ac:dyDescent="0.3">
      <c r="B12" s="1"/>
      <c r="C12" s="1"/>
      <c r="D12" s="1"/>
      <c r="E12" s="1"/>
      <c r="F12" s="1"/>
      <c r="G12" s="1"/>
      <c r="I12" s="40" t="s">
        <v>12</v>
      </c>
      <c r="J12" s="41"/>
      <c r="K12" s="41"/>
      <c r="L12" s="41"/>
      <c r="M12" s="41"/>
      <c r="N12" s="11">
        <f>N11/1.13</f>
        <v>5.3097345132743365</v>
      </c>
    </row>
    <row r="13" spans="2:14" ht="15" thickBot="1" x14ac:dyDescent="0.35">
      <c r="I13" s="31" t="s">
        <v>3</v>
      </c>
      <c r="J13" s="32"/>
      <c r="K13" s="32"/>
      <c r="L13" s="32"/>
      <c r="M13" s="32"/>
      <c r="N13" s="9">
        <f>N10/N12</f>
        <v>1.1836467500000001</v>
      </c>
    </row>
    <row r="14" spans="2:14" ht="15" thickTop="1" x14ac:dyDescent="0.3">
      <c r="I14" s="1"/>
      <c r="J14" s="1"/>
      <c r="K14" s="1"/>
      <c r="L14" s="1"/>
      <c r="M14" s="1"/>
      <c r="N14" s="1"/>
    </row>
  </sheetData>
  <mergeCells count="10">
    <mergeCell ref="I2:N2"/>
    <mergeCell ref="I10:M10"/>
    <mergeCell ref="I11:M11"/>
    <mergeCell ref="I12:M12"/>
    <mergeCell ref="I13:M13"/>
    <mergeCell ref="B11:F11"/>
    <mergeCell ref="B2:G2"/>
    <mergeCell ref="B8:F8"/>
    <mergeCell ref="B9:F9"/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7C02-C167-4686-92C5-0729508863AF}">
  <dimension ref="B1:N18"/>
  <sheetViews>
    <sheetView tabSelected="1" workbookViewId="0">
      <selection activeCell="G11" sqref="G11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  <col min="9" max="9" width="20.77734375" style="5" customWidth="1"/>
    <col min="10" max="11" width="12.77734375" style="5" customWidth="1"/>
    <col min="12" max="12" width="6.77734375" style="5" customWidth="1"/>
    <col min="13" max="14" width="12.77734375" style="5" customWidth="1"/>
  </cols>
  <sheetData>
    <row r="1" spans="2:14" ht="15" thickBot="1" x14ac:dyDescent="0.35"/>
    <row r="2" spans="2:14" ht="18" thickBot="1" x14ac:dyDescent="0.35">
      <c r="B2" s="33" t="s">
        <v>19</v>
      </c>
      <c r="C2" s="34"/>
      <c r="D2" s="34"/>
      <c r="E2" s="34"/>
      <c r="F2" s="34"/>
      <c r="G2" s="35"/>
      <c r="I2" s="33" t="s">
        <v>24</v>
      </c>
      <c r="J2" s="34"/>
      <c r="K2" s="34"/>
      <c r="L2" s="34"/>
      <c r="M2" s="34"/>
      <c r="N2" s="35"/>
    </row>
    <row r="3" spans="2:14" ht="15" thickBot="1" x14ac:dyDescent="0.35">
      <c r="B3" s="1"/>
      <c r="C3" s="1"/>
      <c r="D3" s="1"/>
      <c r="E3" s="1"/>
      <c r="F3" s="1"/>
      <c r="G3" s="1"/>
      <c r="I3" s="1"/>
      <c r="J3" s="1"/>
      <c r="K3" s="1"/>
      <c r="L3" s="1"/>
      <c r="M3" s="1"/>
      <c r="N3" s="1"/>
    </row>
    <row r="4" spans="2:14" ht="15" thickTop="1" x14ac:dyDescent="0.3">
      <c r="B4" s="2" t="s">
        <v>0</v>
      </c>
      <c r="C4" s="3" t="s">
        <v>1</v>
      </c>
      <c r="D4" s="6" t="s">
        <v>7</v>
      </c>
      <c r="E4" s="6" t="s">
        <v>8</v>
      </c>
      <c r="F4" s="6" t="s">
        <v>9</v>
      </c>
      <c r="G4" s="4" t="s">
        <v>10</v>
      </c>
      <c r="I4" s="2" t="s">
        <v>0</v>
      </c>
      <c r="J4" s="3" t="s">
        <v>1</v>
      </c>
      <c r="K4" s="6" t="s">
        <v>7</v>
      </c>
      <c r="L4" s="6" t="s">
        <v>8</v>
      </c>
      <c r="M4" s="6" t="s">
        <v>9</v>
      </c>
      <c r="N4" s="4" t="s">
        <v>10</v>
      </c>
    </row>
    <row r="5" spans="2:14" x14ac:dyDescent="0.3">
      <c r="B5" s="7" t="s">
        <v>22</v>
      </c>
      <c r="C5" s="17">
        <v>5.5555555555555601E-2</v>
      </c>
      <c r="D5" s="14">
        <f>N14</f>
        <v>3.5492999999999997</v>
      </c>
      <c r="E5" s="27">
        <v>0.13</v>
      </c>
      <c r="F5" s="13">
        <f>D5+(D5*E5)</f>
        <v>4.0107089999999994</v>
      </c>
      <c r="G5" s="12">
        <f>D5*C5</f>
        <v>0.19718333333333349</v>
      </c>
      <c r="I5" s="7" t="s">
        <v>13</v>
      </c>
      <c r="J5" s="8">
        <v>0.7</v>
      </c>
      <c r="K5" s="14">
        <v>1.4</v>
      </c>
      <c r="L5" s="27">
        <v>0.06</v>
      </c>
      <c r="M5" s="13">
        <f>K5+(K5*L5)</f>
        <v>1.484</v>
      </c>
      <c r="N5" s="12">
        <f>K5*J5</f>
        <v>0.97999999999999987</v>
      </c>
    </row>
    <row r="6" spans="2:14" x14ac:dyDescent="0.3">
      <c r="B6" s="18" t="s">
        <v>20</v>
      </c>
      <c r="C6" s="22">
        <v>3.5000000000000003E-2</v>
      </c>
      <c r="D6" s="23">
        <v>3.6</v>
      </c>
      <c r="E6" s="28">
        <v>0.23</v>
      </c>
      <c r="F6" s="13">
        <f t="shared" ref="F6:F7" si="0">D6+(D6*E6)</f>
        <v>4.4279999999999999</v>
      </c>
      <c r="G6" s="12">
        <f t="shared" ref="G6:G7" si="1">D6*C6</f>
        <v>0.12600000000000003</v>
      </c>
      <c r="I6" s="7" t="s">
        <v>14</v>
      </c>
      <c r="J6" s="8">
        <v>0.2</v>
      </c>
      <c r="K6" s="14">
        <v>2.65</v>
      </c>
      <c r="L6" s="27">
        <v>0.06</v>
      </c>
      <c r="M6" s="13">
        <f t="shared" ref="M6:M13" si="2">K6+(K6*L6)</f>
        <v>2.8089999999999997</v>
      </c>
      <c r="N6" s="12">
        <f t="shared" ref="N6:N13" si="3">K6*J6</f>
        <v>0.53</v>
      </c>
    </row>
    <row r="7" spans="2:14" ht="15" thickBot="1" x14ac:dyDescent="0.35">
      <c r="B7" s="19" t="s">
        <v>21</v>
      </c>
      <c r="C7" s="20">
        <v>4.0000000000000001E-3</v>
      </c>
      <c r="D7" s="21">
        <v>5.0999999999999996</v>
      </c>
      <c r="E7" s="29">
        <v>0.23</v>
      </c>
      <c r="F7" s="13">
        <f t="shared" si="0"/>
        <v>6.2729999999999997</v>
      </c>
      <c r="G7" s="12">
        <f t="shared" si="1"/>
        <v>2.0399999999999998E-2</v>
      </c>
      <c r="I7" s="7" t="s">
        <v>38</v>
      </c>
      <c r="J7" s="8">
        <v>0.2</v>
      </c>
      <c r="K7" s="14">
        <v>0.76600000000000001</v>
      </c>
      <c r="L7" s="27">
        <v>0.06</v>
      </c>
      <c r="M7" s="13">
        <f t="shared" si="2"/>
        <v>0.81196000000000002</v>
      </c>
      <c r="N7" s="12">
        <f t="shared" si="3"/>
        <v>0.1532</v>
      </c>
    </row>
    <row r="8" spans="2:14" ht="15" thickTop="1" x14ac:dyDescent="0.3">
      <c r="B8" s="36" t="s">
        <v>11</v>
      </c>
      <c r="C8" s="37"/>
      <c r="D8" s="37"/>
      <c r="E8" s="37"/>
      <c r="F8" s="37"/>
      <c r="G8" s="10">
        <f>SUM(G5:G7)</f>
        <v>0.34358333333333346</v>
      </c>
      <c r="I8" s="7" t="s">
        <v>15</v>
      </c>
      <c r="J8" s="8">
        <v>5</v>
      </c>
      <c r="K8" s="14">
        <v>0.2</v>
      </c>
      <c r="L8" s="27">
        <v>0.06</v>
      </c>
      <c r="M8" s="13">
        <f t="shared" si="2"/>
        <v>0.21200000000000002</v>
      </c>
      <c r="N8" s="12">
        <f t="shared" si="3"/>
        <v>1</v>
      </c>
    </row>
    <row r="9" spans="2:14" x14ac:dyDescent="0.3">
      <c r="B9" s="38" t="s">
        <v>2</v>
      </c>
      <c r="C9" s="39"/>
      <c r="D9" s="39"/>
      <c r="E9" s="39"/>
      <c r="F9" s="39"/>
      <c r="G9" s="11">
        <v>5</v>
      </c>
      <c r="I9" s="7" t="s">
        <v>16</v>
      </c>
      <c r="J9" s="8">
        <v>0.01</v>
      </c>
      <c r="K9" s="14">
        <v>6.29</v>
      </c>
      <c r="L9" s="27">
        <v>0.23</v>
      </c>
      <c r="M9" s="13">
        <f t="shared" si="2"/>
        <v>7.7366999999999999</v>
      </c>
      <c r="N9" s="12">
        <f t="shared" si="3"/>
        <v>6.2899999999999998E-2</v>
      </c>
    </row>
    <row r="10" spans="2:14" x14ac:dyDescent="0.3">
      <c r="B10" s="40" t="s">
        <v>12</v>
      </c>
      <c r="C10" s="41"/>
      <c r="D10" s="41"/>
      <c r="E10" s="41"/>
      <c r="F10" s="41"/>
      <c r="G10" s="11">
        <f>G9/1.13</f>
        <v>4.4247787610619476</v>
      </c>
      <c r="I10" s="7" t="s">
        <v>17</v>
      </c>
      <c r="J10" s="8">
        <v>0.35</v>
      </c>
      <c r="K10" s="14">
        <v>0.84</v>
      </c>
      <c r="L10" s="27">
        <v>0.06</v>
      </c>
      <c r="M10" s="13">
        <f t="shared" si="2"/>
        <v>0.89039999999999997</v>
      </c>
      <c r="N10" s="12">
        <f t="shared" si="3"/>
        <v>0.29399999999999998</v>
      </c>
    </row>
    <row r="11" spans="2:14" ht="15" thickBot="1" x14ac:dyDescent="0.35">
      <c r="B11" s="31" t="s">
        <v>3</v>
      </c>
      <c r="C11" s="32"/>
      <c r="D11" s="32"/>
      <c r="E11" s="32"/>
      <c r="F11" s="32"/>
      <c r="G11" s="9">
        <f>G8/G10</f>
        <v>7.7649833333333348E-2</v>
      </c>
      <c r="I11" s="18" t="s">
        <v>36</v>
      </c>
      <c r="J11" s="8">
        <v>0.04</v>
      </c>
      <c r="K11" s="14">
        <v>1.645</v>
      </c>
      <c r="L11" s="27">
        <v>0.23</v>
      </c>
      <c r="M11" s="13">
        <f t="shared" si="2"/>
        <v>2.0233500000000002</v>
      </c>
      <c r="N11" s="12">
        <f t="shared" si="3"/>
        <v>6.5799999999999997E-2</v>
      </c>
    </row>
    <row r="12" spans="2:14" ht="15" thickTop="1" x14ac:dyDescent="0.3">
      <c r="B12" s="1"/>
      <c r="C12" s="1"/>
      <c r="D12" s="1"/>
      <c r="E12" s="1"/>
      <c r="F12" s="1"/>
      <c r="G12" s="1"/>
      <c r="I12" s="7" t="s">
        <v>44</v>
      </c>
      <c r="J12" s="8">
        <v>0.04</v>
      </c>
      <c r="K12" s="14">
        <v>8.36</v>
      </c>
      <c r="L12" s="27">
        <v>0.23</v>
      </c>
      <c r="M12" s="13">
        <f t="shared" si="2"/>
        <v>10.2828</v>
      </c>
      <c r="N12" s="12">
        <f t="shared" si="3"/>
        <v>0.33439999999999998</v>
      </c>
    </row>
    <row r="13" spans="2:14" ht="15" thickBot="1" x14ac:dyDescent="0.35">
      <c r="I13" s="7" t="s">
        <v>18</v>
      </c>
      <c r="J13" s="8">
        <v>0.1</v>
      </c>
      <c r="K13" s="14">
        <v>1.29</v>
      </c>
      <c r="L13" s="27">
        <v>0.06</v>
      </c>
      <c r="M13" s="13">
        <f t="shared" si="2"/>
        <v>1.3673999999999999</v>
      </c>
      <c r="N13" s="12">
        <f t="shared" si="3"/>
        <v>0.129</v>
      </c>
    </row>
    <row r="14" spans="2:14" ht="15" thickTop="1" x14ac:dyDescent="0.3">
      <c r="I14" s="36" t="s">
        <v>11</v>
      </c>
      <c r="J14" s="37"/>
      <c r="K14" s="37"/>
      <c r="L14" s="37"/>
      <c r="M14" s="37"/>
      <c r="N14" s="10">
        <f>SUM(N5:N13)</f>
        <v>3.5492999999999997</v>
      </c>
    </row>
    <row r="15" spans="2:14" x14ac:dyDescent="0.3">
      <c r="I15" s="38" t="s">
        <v>2</v>
      </c>
      <c r="J15" s="39"/>
      <c r="K15" s="39"/>
      <c r="L15" s="39"/>
      <c r="M15" s="39"/>
      <c r="N15" s="11"/>
    </row>
    <row r="16" spans="2:14" x14ac:dyDescent="0.3">
      <c r="I16" s="40" t="s">
        <v>12</v>
      </c>
      <c r="J16" s="41"/>
      <c r="K16" s="41"/>
      <c r="L16" s="41"/>
      <c r="M16" s="41"/>
      <c r="N16" s="11"/>
    </row>
    <row r="17" spans="9:14" ht="15" thickBot="1" x14ac:dyDescent="0.35">
      <c r="I17" s="31" t="s">
        <v>3</v>
      </c>
      <c r="J17" s="32"/>
      <c r="K17" s="32"/>
      <c r="L17" s="32"/>
      <c r="M17" s="32"/>
      <c r="N17" s="9"/>
    </row>
    <row r="18" spans="9:14" ht="15" thickTop="1" x14ac:dyDescent="0.3">
      <c r="I18" s="1"/>
      <c r="J18" s="1"/>
      <c r="K18" s="1"/>
      <c r="L18" s="1"/>
      <c r="M18" s="1"/>
      <c r="N18" s="1"/>
    </row>
  </sheetData>
  <mergeCells count="10">
    <mergeCell ref="I2:N2"/>
    <mergeCell ref="I14:M14"/>
    <mergeCell ref="I15:M15"/>
    <mergeCell ref="I16:M16"/>
    <mergeCell ref="I17:M17"/>
    <mergeCell ref="B11:F11"/>
    <mergeCell ref="B2:G2"/>
    <mergeCell ref="B8:F8"/>
    <mergeCell ref="B9:F9"/>
    <mergeCell ref="B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2C38-4147-42A0-BEED-549B1F7AD603}">
  <dimension ref="B1:N20"/>
  <sheetViews>
    <sheetView workbookViewId="0">
      <selection activeCell="K10" sqref="K10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  <col min="9" max="9" width="20.77734375" style="5" customWidth="1"/>
    <col min="10" max="11" width="12.77734375" style="5" customWidth="1"/>
    <col min="12" max="12" width="6.77734375" style="5" customWidth="1"/>
    <col min="13" max="14" width="12.77734375" style="5" customWidth="1"/>
  </cols>
  <sheetData>
    <row r="1" spans="2:14" ht="15" thickBot="1" x14ac:dyDescent="0.35"/>
    <row r="2" spans="2:14" ht="18" thickBot="1" x14ac:dyDescent="0.35">
      <c r="B2" s="33" t="s">
        <v>23</v>
      </c>
      <c r="C2" s="34"/>
      <c r="D2" s="34"/>
      <c r="E2" s="34"/>
      <c r="F2" s="34"/>
      <c r="G2" s="35"/>
      <c r="I2" s="33" t="s">
        <v>25</v>
      </c>
      <c r="J2" s="34"/>
      <c r="K2" s="34"/>
      <c r="L2" s="34"/>
      <c r="M2" s="34"/>
      <c r="N2" s="35"/>
    </row>
    <row r="3" spans="2:14" ht="15" thickBot="1" x14ac:dyDescent="0.35">
      <c r="B3" s="1"/>
      <c r="C3" s="1"/>
      <c r="D3" s="1"/>
      <c r="E3" s="1"/>
      <c r="F3" s="1"/>
      <c r="G3" s="1"/>
      <c r="I3" s="1"/>
      <c r="J3" s="1"/>
      <c r="K3" s="1"/>
      <c r="L3" s="1"/>
      <c r="M3" s="1"/>
      <c r="N3" s="1"/>
    </row>
    <row r="4" spans="2:14" ht="15" thickTop="1" x14ac:dyDescent="0.3">
      <c r="B4" s="2" t="s">
        <v>0</v>
      </c>
      <c r="C4" s="3" t="s">
        <v>1</v>
      </c>
      <c r="D4" s="6" t="s">
        <v>7</v>
      </c>
      <c r="E4" s="6" t="s">
        <v>8</v>
      </c>
      <c r="F4" s="6" t="s">
        <v>9</v>
      </c>
      <c r="G4" s="4" t="s">
        <v>10</v>
      </c>
      <c r="I4" s="2" t="s">
        <v>0</v>
      </c>
      <c r="J4" s="3" t="s">
        <v>1</v>
      </c>
      <c r="K4" s="6" t="s">
        <v>7</v>
      </c>
      <c r="L4" s="6" t="s">
        <v>8</v>
      </c>
      <c r="M4" s="6" t="s">
        <v>9</v>
      </c>
      <c r="N4" s="4" t="s">
        <v>10</v>
      </c>
    </row>
    <row r="5" spans="2:14" x14ac:dyDescent="0.3">
      <c r="B5" s="7" t="s">
        <v>41</v>
      </c>
      <c r="C5" s="17">
        <v>8.3333333333333329E-2</v>
      </c>
      <c r="D5" s="14">
        <f>N16</f>
        <v>6.3190999999999997</v>
      </c>
      <c r="E5" s="27">
        <v>0.13</v>
      </c>
      <c r="F5" s="13">
        <f>D5+(D5*E5)</f>
        <v>7.1405829999999995</v>
      </c>
      <c r="G5" s="12">
        <f>C5*D5</f>
        <v>0.52659166666666657</v>
      </c>
      <c r="I5" s="7" t="s">
        <v>28</v>
      </c>
      <c r="J5" s="8">
        <v>0.6</v>
      </c>
      <c r="K5" s="14">
        <v>4.93</v>
      </c>
      <c r="L5" s="27">
        <v>0.06</v>
      </c>
      <c r="M5" s="13">
        <f>K5+(K5*L5)</f>
        <v>5.2257999999999996</v>
      </c>
      <c r="N5" s="12">
        <f>J5*K5</f>
        <v>2.9579999999999997</v>
      </c>
    </row>
    <row r="6" spans="2:14" ht="15" thickBot="1" x14ac:dyDescent="0.35">
      <c r="B6" s="19" t="s">
        <v>39</v>
      </c>
      <c r="C6" s="20">
        <v>0.04</v>
      </c>
      <c r="D6" s="21">
        <v>4.3685599999999996</v>
      </c>
      <c r="E6" s="29">
        <v>0.13</v>
      </c>
      <c r="F6" s="13">
        <f>D6+(D6*E6)</f>
        <v>4.9364727999999998</v>
      </c>
      <c r="G6" s="12">
        <f>C6*D6</f>
        <v>0.17474239999999999</v>
      </c>
      <c r="I6" s="7" t="s">
        <v>29</v>
      </c>
      <c r="J6" s="8">
        <v>0.15</v>
      </c>
      <c r="K6" s="14">
        <v>1.77</v>
      </c>
      <c r="L6" s="27">
        <v>0.23</v>
      </c>
      <c r="M6" s="13">
        <f t="shared" ref="M6:M15" si="0">K6+(K6*L6)</f>
        <v>2.1771000000000003</v>
      </c>
      <c r="N6" s="12">
        <f t="shared" ref="N6:N15" si="1">J6*K6</f>
        <v>0.26550000000000001</v>
      </c>
    </row>
    <row r="7" spans="2:14" ht="15" thickTop="1" x14ac:dyDescent="0.3">
      <c r="B7" s="36" t="s">
        <v>11</v>
      </c>
      <c r="C7" s="37"/>
      <c r="D7" s="37"/>
      <c r="E7" s="37"/>
      <c r="F7" s="37"/>
      <c r="G7" s="15">
        <f>SUM(G5:G6)</f>
        <v>0.70133406666666653</v>
      </c>
      <c r="I7" s="7" t="s">
        <v>30</v>
      </c>
      <c r="J7" s="8">
        <v>0.25</v>
      </c>
      <c r="K7" s="14">
        <v>5.12</v>
      </c>
      <c r="L7" s="27">
        <v>0.06</v>
      </c>
      <c r="M7" s="13">
        <f t="shared" si="0"/>
        <v>5.4272</v>
      </c>
      <c r="N7" s="12">
        <f t="shared" si="1"/>
        <v>1.28</v>
      </c>
    </row>
    <row r="8" spans="2:14" x14ac:dyDescent="0.3">
      <c r="B8" s="38" t="s">
        <v>2</v>
      </c>
      <c r="C8" s="39"/>
      <c r="D8" s="39"/>
      <c r="E8" s="39"/>
      <c r="F8" s="39"/>
      <c r="G8" s="16">
        <v>6</v>
      </c>
      <c r="I8" s="7" t="s">
        <v>31</v>
      </c>
      <c r="J8" s="8">
        <v>0.03</v>
      </c>
      <c r="K8" s="14">
        <v>1.6</v>
      </c>
      <c r="L8" s="27">
        <v>0.06</v>
      </c>
      <c r="M8" s="13">
        <f t="shared" si="0"/>
        <v>1.6960000000000002</v>
      </c>
      <c r="N8" s="12">
        <f t="shared" si="1"/>
        <v>4.8000000000000001E-2</v>
      </c>
    </row>
    <row r="9" spans="2:14" x14ac:dyDescent="0.3">
      <c r="B9" s="40" t="s">
        <v>12</v>
      </c>
      <c r="C9" s="41"/>
      <c r="D9" s="41"/>
      <c r="E9" s="41"/>
      <c r="F9" s="41"/>
      <c r="G9" s="11">
        <f>G8/1.13</f>
        <v>5.3097345132743365</v>
      </c>
      <c r="I9" s="7" t="s">
        <v>32</v>
      </c>
      <c r="J9" s="8">
        <v>0.1</v>
      </c>
      <c r="K9" s="14" t="s">
        <v>43</v>
      </c>
      <c r="L9" s="27" t="s">
        <v>43</v>
      </c>
      <c r="M9" s="13" t="s">
        <v>43</v>
      </c>
      <c r="N9" s="12" t="s">
        <v>43</v>
      </c>
    </row>
    <row r="10" spans="2:14" ht="15" thickBot="1" x14ac:dyDescent="0.35">
      <c r="B10" s="31" t="s">
        <v>3</v>
      </c>
      <c r="C10" s="32"/>
      <c r="D10" s="32"/>
      <c r="E10" s="32"/>
      <c r="F10" s="32"/>
      <c r="G10" s="9">
        <f>G7/G9</f>
        <v>0.13208458255555552</v>
      </c>
      <c r="I10" s="7" t="s">
        <v>38</v>
      </c>
      <c r="J10" s="8">
        <v>0.25</v>
      </c>
      <c r="K10" s="14">
        <v>0.76600000000000001</v>
      </c>
      <c r="L10" s="27">
        <v>0.06</v>
      </c>
      <c r="M10" s="13">
        <f t="shared" si="0"/>
        <v>0.81196000000000002</v>
      </c>
      <c r="N10" s="12">
        <f t="shared" si="1"/>
        <v>0.1915</v>
      </c>
    </row>
    <row r="11" spans="2:14" ht="15" thickTop="1" x14ac:dyDescent="0.3">
      <c r="B11" s="1"/>
      <c r="C11" s="1"/>
      <c r="D11" s="1"/>
      <c r="E11" s="1"/>
      <c r="F11" s="1"/>
      <c r="G11" s="1"/>
      <c r="I11" s="7" t="s">
        <v>15</v>
      </c>
      <c r="J11" s="8">
        <v>5</v>
      </c>
      <c r="K11" s="14">
        <v>0.2</v>
      </c>
      <c r="L11" s="27">
        <v>0.06</v>
      </c>
      <c r="M11" s="13">
        <f t="shared" si="0"/>
        <v>0.21200000000000002</v>
      </c>
      <c r="N11" s="12">
        <f t="shared" si="1"/>
        <v>1</v>
      </c>
    </row>
    <row r="12" spans="2:14" x14ac:dyDescent="0.3">
      <c r="I12" s="7" t="s">
        <v>33</v>
      </c>
      <c r="J12" s="8">
        <v>2E-3</v>
      </c>
      <c r="K12" s="14">
        <v>28</v>
      </c>
      <c r="L12" s="27">
        <v>0.23</v>
      </c>
      <c r="M12" s="13">
        <f t="shared" si="0"/>
        <v>34.44</v>
      </c>
      <c r="N12" s="12">
        <f t="shared" si="1"/>
        <v>5.6000000000000001E-2</v>
      </c>
    </row>
    <row r="13" spans="2:14" x14ac:dyDescent="0.3">
      <c r="I13" s="18" t="s">
        <v>34</v>
      </c>
      <c r="J13" s="8">
        <v>0.04</v>
      </c>
      <c r="K13" s="14">
        <v>2.09</v>
      </c>
      <c r="L13" s="27">
        <v>0.23</v>
      </c>
      <c r="M13" s="13">
        <f t="shared" si="0"/>
        <v>2.5707</v>
      </c>
      <c r="N13" s="12">
        <f t="shared" si="1"/>
        <v>8.3599999999999994E-2</v>
      </c>
    </row>
    <row r="14" spans="2:14" x14ac:dyDescent="0.3">
      <c r="I14" s="7" t="s">
        <v>35</v>
      </c>
      <c r="J14" s="8">
        <v>0.15</v>
      </c>
      <c r="K14" s="14">
        <v>1.85</v>
      </c>
      <c r="L14" s="27">
        <v>0.23</v>
      </c>
      <c r="M14" s="13">
        <f t="shared" si="0"/>
        <v>2.2755000000000001</v>
      </c>
      <c r="N14" s="12">
        <f t="shared" si="1"/>
        <v>0.27750000000000002</v>
      </c>
    </row>
    <row r="15" spans="2:14" ht="15" thickBot="1" x14ac:dyDescent="0.35">
      <c r="I15" s="7" t="s">
        <v>14</v>
      </c>
      <c r="J15" s="8">
        <v>0.06</v>
      </c>
      <c r="K15" s="14">
        <v>2.65</v>
      </c>
      <c r="L15" s="27">
        <v>0.06</v>
      </c>
      <c r="M15" s="13">
        <f t="shared" si="0"/>
        <v>2.8089999999999997</v>
      </c>
      <c r="N15" s="12">
        <f t="shared" si="1"/>
        <v>0.159</v>
      </c>
    </row>
    <row r="16" spans="2:14" ht="15" thickTop="1" x14ac:dyDescent="0.3">
      <c r="I16" s="36" t="s">
        <v>11</v>
      </c>
      <c r="J16" s="37"/>
      <c r="K16" s="37"/>
      <c r="L16" s="37"/>
      <c r="M16" s="37"/>
      <c r="N16" s="15">
        <f>SUM(N5:N15)</f>
        <v>6.3190999999999997</v>
      </c>
    </row>
    <row r="17" spans="9:14" x14ac:dyDescent="0.3">
      <c r="I17" s="38" t="s">
        <v>2</v>
      </c>
      <c r="J17" s="39"/>
      <c r="K17" s="39"/>
      <c r="L17" s="39"/>
      <c r="M17" s="39"/>
      <c r="N17" s="30">
        <v>6</v>
      </c>
    </row>
    <row r="18" spans="9:14" x14ac:dyDescent="0.3">
      <c r="I18" s="40" t="s">
        <v>12</v>
      </c>
      <c r="J18" s="41"/>
      <c r="K18" s="41"/>
      <c r="L18" s="41"/>
      <c r="M18" s="41"/>
      <c r="N18" s="11">
        <f>N17/1.13</f>
        <v>5.3097345132743365</v>
      </c>
    </row>
    <row r="19" spans="9:14" ht="15" thickBot="1" x14ac:dyDescent="0.35">
      <c r="I19" s="31" t="s">
        <v>3</v>
      </c>
      <c r="J19" s="32"/>
      <c r="K19" s="32"/>
      <c r="L19" s="32"/>
      <c r="M19" s="32"/>
      <c r="N19" s="9">
        <f>N16/N18</f>
        <v>1.1900971666666667</v>
      </c>
    </row>
    <row r="20" spans="9:14" ht="15" thickTop="1" x14ac:dyDescent="0.3">
      <c r="I20" s="1"/>
      <c r="J20" s="1"/>
      <c r="K20" s="1"/>
      <c r="L20" s="1"/>
      <c r="M20" s="1"/>
      <c r="N20" s="1"/>
    </row>
  </sheetData>
  <mergeCells count="10">
    <mergeCell ref="I2:N2"/>
    <mergeCell ref="I16:M16"/>
    <mergeCell ref="I17:M17"/>
    <mergeCell ref="I18:M18"/>
    <mergeCell ref="I19:M19"/>
    <mergeCell ref="B10:F10"/>
    <mergeCell ref="B2:G2"/>
    <mergeCell ref="B7:F7"/>
    <mergeCell ref="B8:F8"/>
    <mergeCell ref="B9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B7A9-DA2C-4419-BF9B-8E2A9A1323AB}">
  <dimension ref="B1:G18"/>
  <sheetViews>
    <sheetView workbookViewId="0">
      <selection activeCell="G15" sqref="G15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33" t="s">
        <v>6</v>
      </c>
      <c r="C2" s="34"/>
      <c r="D2" s="34"/>
      <c r="E2" s="34"/>
      <c r="F2" s="34"/>
      <c r="G2" s="35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7</v>
      </c>
      <c r="E4" s="6" t="s">
        <v>8</v>
      </c>
      <c r="F4" s="6" t="s">
        <v>9</v>
      </c>
      <c r="G4" s="4" t="s">
        <v>10</v>
      </c>
    </row>
    <row r="5" spans="2:7" x14ac:dyDescent="0.3">
      <c r="B5" s="7"/>
      <c r="C5" s="8"/>
      <c r="D5" s="14"/>
      <c r="E5" s="8"/>
      <c r="F5" s="13">
        <f>D5+(D5*E5)</f>
        <v>0</v>
      </c>
      <c r="G5" s="12">
        <f>C5*D5</f>
        <v>0</v>
      </c>
    </row>
    <row r="6" spans="2:7" x14ac:dyDescent="0.3">
      <c r="B6" s="7"/>
      <c r="C6" s="8"/>
      <c r="D6" s="14"/>
      <c r="E6" s="8"/>
      <c r="F6" s="13">
        <f t="shared" ref="F6:F11" si="0">D6+(D6*E6)</f>
        <v>0</v>
      </c>
      <c r="G6" s="12">
        <f t="shared" ref="G6:G11" si="1">C6*D6</f>
        <v>0</v>
      </c>
    </row>
    <row r="7" spans="2:7" x14ac:dyDescent="0.3">
      <c r="B7" s="7"/>
      <c r="C7" s="8"/>
      <c r="D7" s="14"/>
      <c r="E7" s="8"/>
      <c r="F7" s="13">
        <f t="shared" si="0"/>
        <v>0</v>
      </c>
      <c r="G7" s="12">
        <f t="shared" si="1"/>
        <v>0</v>
      </c>
    </row>
    <row r="8" spans="2:7" x14ac:dyDescent="0.3">
      <c r="B8" s="7"/>
      <c r="C8" s="8"/>
      <c r="D8" s="14"/>
      <c r="E8" s="8"/>
      <c r="F8" s="13">
        <f t="shared" si="0"/>
        <v>0</v>
      </c>
      <c r="G8" s="12">
        <f t="shared" si="1"/>
        <v>0</v>
      </c>
    </row>
    <row r="9" spans="2:7" x14ac:dyDescent="0.3">
      <c r="B9" s="7"/>
      <c r="C9" s="8"/>
      <c r="D9" s="14"/>
      <c r="E9" s="8"/>
      <c r="F9" s="13">
        <f t="shared" si="0"/>
        <v>0</v>
      </c>
      <c r="G9" s="12">
        <f t="shared" si="1"/>
        <v>0</v>
      </c>
    </row>
    <row r="10" spans="2:7" x14ac:dyDescent="0.3">
      <c r="B10" s="7"/>
      <c r="C10" s="8"/>
      <c r="D10" s="14"/>
      <c r="E10" s="8"/>
      <c r="F10" s="13">
        <f t="shared" si="0"/>
        <v>0</v>
      </c>
      <c r="G10" s="12">
        <f t="shared" si="1"/>
        <v>0</v>
      </c>
    </row>
    <row r="11" spans="2:7" ht="15" thickBot="1" x14ac:dyDescent="0.35">
      <c r="B11" s="7"/>
      <c r="C11" s="8"/>
      <c r="D11" s="14"/>
      <c r="E11" s="8"/>
      <c r="F11" s="13">
        <f t="shared" si="0"/>
        <v>0</v>
      </c>
      <c r="G11" s="12">
        <f t="shared" si="1"/>
        <v>0</v>
      </c>
    </row>
    <row r="12" spans="2:7" ht="15" thickTop="1" x14ac:dyDescent="0.3">
      <c r="B12" s="36" t="s">
        <v>11</v>
      </c>
      <c r="C12" s="37"/>
      <c r="D12" s="37"/>
      <c r="E12" s="37"/>
      <c r="F12" s="37"/>
      <c r="G12" s="10">
        <f>SUM(G5:G11)</f>
        <v>0</v>
      </c>
    </row>
    <row r="13" spans="2:7" x14ac:dyDescent="0.3">
      <c r="B13" s="38" t="s">
        <v>2</v>
      </c>
      <c r="C13" s="39"/>
      <c r="D13" s="39"/>
      <c r="E13" s="39"/>
      <c r="F13" s="39"/>
      <c r="G13" s="11">
        <v>5</v>
      </c>
    </row>
    <row r="14" spans="2:7" x14ac:dyDescent="0.3">
      <c r="B14" s="40" t="s">
        <v>12</v>
      </c>
      <c r="C14" s="41"/>
      <c r="D14" s="41"/>
      <c r="E14" s="41"/>
      <c r="F14" s="41"/>
      <c r="G14" s="11">
        <f>G13/1.13</f>
        <v>4.4247787610619476</v>
      </c>
    </row>
    <row r="15" spans="2:7" ht="15" thickBot="1" x14ac:dyDescent="0.35">
      <c r="B15" s="31" t="s">
        <v>3</v>
      </c>
      <c r="C15" s="32"/>
      <c r="D15" s="32"/>
      <c r="E15" s="32"/>
      <c r="F15" s="32"/>
      <c r="G15" s="9">
        <f>G12/G14</f>
        <v>0</v>
      </c>
    </row>
    <row r="16" spans="2:7" ht="15" thickTop="1" x14ac:dyDescent="0.3">
      <c r="B16" s="1"/>
      <c r="C16" s="1"/>
      <c r="D16" s="1"/>
      <c r="E16" s="1"/>
      <c r="F16" s="1"/>
      <c r="G16" s="1"/>
    </row>
    <row r="17" spans="2:7" x14ac:dyDescent="0.3">
      <c r="B17" s="42" t="s">
        <v>4</v>
      </c>
      <c r="C17" s="42"/>
      <c r="D17" s="42"/>
      <c r="E17" s="42"/>
      <c r="F17" s="42"/>
      <c r="G17" s="42"/>
    </row>
    <row r="18" spans="2:7" x14ac:dyDescent="0.3">
      <c r="B18" s="43" t="s">
        <v>5</v>
      </c>
      <c r="C18" s="43"/>
      <c r="D18" s="43"/>
      <c r="E18" s="43"/>
      <c r="F18" s="43"/>
      <c r="G18" s="43"/>
    </row>
  </sheetData>
  <mergeCells count="7">
    <mergeCell ref="B15:F15"/>
    <mergeCell ref="B17:G17"/>
    <mergeCell ref="B18:G18"/>
    <mergeCell ref="B2:G2"/>
    <mergeCell ref="B12:F12"/>
    <mergeCell ref="B13:F13"/>
    <mergeCell ref="B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Mousse</vt:lpstr>
      <vt:lpstr>Bolo Banana</vt:lpstr>
      <vt:lpstr>Cheesecake</vt:lpstr>
      <vt:lpstr>Fruta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2026-06-15T20:44:53Z</dcterms:created>
  <dcterms:modified xsi:type="dcterms:W3CDTF">2026-08-04T16:57:19Z</dcterms:modified>
</cp:coreProperties>
</file>