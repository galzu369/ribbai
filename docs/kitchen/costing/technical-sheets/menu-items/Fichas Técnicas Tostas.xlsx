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5a07027276a17f/Documentos/Ribbaí/Fichas Técnicas/"/>
    </mc:Choice>
  </mc:AlternateContent>
  <xr:revisionPtr revIDLastSave="429" documentId="8_{AC89C7CA-E6CA-445A-8D32-E898F3918BE3}" xr6:coauthVersionLast="47" xr6:coauthVersionMax="47" xr10:uidLastSave="{7F1BCFC0-4BE4-4042-8492-889437F1ACAA}"/>
  <bookViews>
    <workbookView xWindow="-108" yWindow="-108" windowWidth="23256" windowHeight="12456" xr2:uid="{087712EC-14E1-41D9-9898-55F5C15F5DF4}"/>
  </bookViews>
  <sheets>
    <sheet name="Torrada" sheetId="1" r:id="rId1"/>
    <sheet name="Mista" sheetId="3" r:id="rId2"/>
    <sheet name="Atum" sheetId="4" r:id="rId3"/>
    <sheet name="Frango" sheetId="5" r:id="rId4"/>
    <sheet name="Vegetariana" sheetId="6" r:id="rId5"/>
    <sheet name="Salmão" sheetId="7" r:id="rId6"/>
    <sheet name="Guacamole" sheetId="8" r:id="rId7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<sst xmlns="http://schemas.openxmlformats.org/spreadsheetml/2006/main" count="130" uniqueCount="39">
  <si>
    <t>Ingredientes</t>
  </si>
  <si>
    <t>Quantidades</t>
  </si>
  <si>
    <t>Preço Venda c/Iva</t>
  </si>
  <si>
    <t>% food cost</t>
  </si>
  <si>
    <t xml:space="preserve">Preparação: </t>
  </si>
  <si>
    <r>
      <t>Serviço:</t>
    </r>
    <r>
      <rPr>
        <sz val="11"/>
        <color theme="1"/>
        <rFont val="Arial"/>
        <family val="2"/>
      </rPr>
      <t xml:space="preserve"> </t>
    </r>
  </si>
  <si>
    <t>Preço s/ IVA</t>
  </si>
  <si>
    <t>IVA</t>
  </si>
  <si>
    <t>Preço c/ IVA</t>
  </si>
  <si>
    <t>Custo</t>
  </si>
  <si>
    <t>Queijo creme</t>
  </si>
  <si>
    <t>Custo Mercadoria s/Iva</t>
  </si>
  <si>
    <t>Preço Venda s/Iva</t>
  </si>
  <si>
    <t>TORRADA</t>
  </si>
  <si>
    <t>TOSTA MISTA</t>
  </si>
  <si>
    <t>TOSTA ATUM</t>
  </si>
  <si>
    <t>TOSTA FRANGO</t>
  </si>
  <si>
    <t>TOSTA VEGETARIANA</t>
  </si>
  <si>
    <t>TOSTA SALMÃO</t>
  </si>
  <si>
    <t>TOSTA GUACAMOLE E OVO ESCALFADO</t>
  </si>
  <si>
    <t>Pão tosta</t>
  </si>
  <si>
    <t>Fiambre</t>
  </si>
  <si>
    <t>Rúcula</t>
  </si>
  <si>
    <t>Salmão fumado</t>
  </si>
  <si>
    <t>Cebolinho</t>
  </si>
  <si>
    <t>Ovo</t>
  </si>
  <si>
    <t>Manteiga</t>
  </si>
  <si>
    <t>Queijo edam</t>
  </si>
  <si>
    <t>Azeitona laminada</t>
  </si>
  <si>
    <t>Bacon fatias</t>
  </si>
  <si>
    <t>Azeite</t>
  </si>
  <si>
    <t>Granola salgada</t>
  </si>
  <si>
    <t>Guacamole</t>
  </si>
  <si>
    <t>Húmmus</t>
  </si>
  <si>
    <t>Cogumelos assados</t>
  </si>
  <si>
    <t>Pasta frango</t>
  </si>
  <si>
    <t>Pasta atum</t>
  </si>
  <si>
    <t>Pimenta preta grão</t>
  </si>
  <si>
    <t>Sal fino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</si>
</sst>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0" xfId="0" applyFont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right" vertical="center"/>
    </xf>
    <xf numFmtId="9" fontId="4" fillId="2" borderId="20" xfId="1" applyFont="1" applyFill="1" applyBorder="1" applyAlignment="1">
      <alignment vertical="center"/>
    </xf>
    <xf numFmtId="164" fontId="3" fillId="0" borderId="10" xfId="0" applyNumberFormat="1" applyFont="1" applyBorder="1" applyAlignment="1">
      <alignment horizontal="right" vertical="center"/>
    </xf>
    <xf numFmtId="164" fontId="3" fillId="0" borderId="9" xfId="0" applyNumberFormat="1" applyFont="1" applyBorder="1" applyAlignment="1">
      <alignment horizontal="right" vertical="center"/>
    </xf>
    <xf numFmtId="164" fontId="4" fillId="0" borderId="14" xfId="2" applyNumberFormat="1" applyFont="1" applyBorder="1" applyAlignment="1">
      <alignment vertical="center"/>
    </xf>
    <xf numFmtId="164" fontId="4" fillId="0" borderId="14" xfId="2" applyNumberFormat="1" applyFont="1" applyBorder="1" applyAlignment="1">
      <alignment horizontal="right" vertical="center"/>
    </xf>
    <xf numFmtId="164" fontId="4" fillId="0" borderId="17" xfId="2" applyNumberFormat="1" applyFont="1" applyBorder="1" applyAlignment="1">
      <alignment horizontal="right" vertical="center"/>
    </xf>
    <xf numFmtId="164" fontId="4" fillId="0" borderId="17" xfId="2" applyNumberFormat="1" applyFont="1" applyBorder="1" applyAlignment="1">
      <alignment vertical="center"/>
    </xf>
    <xf numFmtId="164" fontId="4" fillId="0" borderId="11" xfId="0" applyNumberFormat="1" applyFont="1" applyBorder="1" applyAlignment="1">
      <alignment horizontal="right" vertical="center"/>
    </xf>
    <xf numFmtId="9" fontId="3" fillId="0" borderId="9" xfId="0" applyNumberFormat="1" applyFont="1" applyBorder="1" applyAlignment="1">
      <alignment horizontal="center" vertical="center"/>
    </xf>
    <xf numFmtId="9" fontId="3" fillId="0" borderId="9" xfId="1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</cellXfs>
  <cellStyles count="3">
    <cellStyle name="Moeda 2" xfId="2" xr:uid="{BBC0ADC4-E0F0-430B-A2BD-385036C88CDB}"/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8E1D-46BA-4369-8AC7-861FE299E50D}">
  <dimension ref="B1:G13"/>
  <sheetViews>
    <sheetView tabSelected="1" workbookViewId="0">
      <selection activeCell="D5" sqref="D5:D6"/>
    </sheetView>
  </sheetViews>
  <sheetFormatPr defaultRowHeight="14.4" x14ac:dyDescent="0.3"/>
  <cols>
    <col min="2" max="2" width="20.77734375" style="5" customWidth="1"/>
    <col min="3" max="4" width="12.77734375" style="5" customWidth="1"/>
    <col min="5" max="5" width="6.77734375" style="5" customWidth="1"/>
    <col min="6" max="7" width="12.77734375" style="5" customWidth="1"/>
  </cols>
  <sheetData>
    <row r="1" spans="2:7" ht="15" thickBot="1" x14ac:dyDescent="0.35"/>
    <row r="2" spans="2:7" ht="18" thickBot="1" x14ac:dyDescent="0.35">
      <c r="B2" s="23" t="s">
        <v>13</v>
      </c>
      <c r="C2" s="24"/>
      <c r="D2" s="24"/>
      <c r="E2" s="24"/>
      <c r="F2" s="24"/>
      <c r="G2" s="25"/>
    </row>
    <row r="3" spans="2:7" ht="15" thickBot="1" x14ac:dyDescent="0.35">
      <c r="B3" s="1"/>
      <c r="C3" s="1"/>
      <c r="D3" s="1"/>
      <c r="E3" s="1"/>
      <c r="F3" s="1"/>
      <c r="G3" s="1"/>
    </row>
    <row r="4" spans="2:7" ht="15" thickTop="1" x14ac:dyDescent="0.3">
      <c r="B4" s="2" t="s">
        <v>0</v>
      </c>
      <c r="C4" s="3" t="s">
        <v>1</v>
      </c>
      <c r="D4" s="6" t="s">
        <v>6</v>
      </c>
      <c r="E4" s="6" t="s">
        <v>7</v>
      </c>
      <c r="F4" s="6" t="s">
        <v>8</v>
      </c>
      <c r="G4" s="4" t="s">
        <v>9</v>
      </c>
    </row>
    <row r="5" spans="2:7" x14ac:dyDescent="0.3">
      <c r="B5" s="7" t="s">
        <v>20</v>
      </c>
      <c r="C5" s="8">
        <v>2</v>
      </c>
      <c r="D5" s="11">
        <v>0.24972253052164262</v>
      </c>
      <c r="E5" s="18">
        <v>0.06</v>
      </c>
      <c r="F5" s="10">
        <f>D5+(D5*E5)</f>
        <v>0.2647058823529412</v>
      </c>
      <c r="G5" s="16">
        <f>C5*D5</f>
        <v>0.49944506104328523</v>
      </c>
    </row>
    <row r="6" spans="2:7" ht="15" thickBot="1" x14ac:dyDescent="0.35">
      <c r="B6" s="7" t="s">
        <v>26</v>
      </c>
      <c r="C6" s="8">
        <v>0.02</v>
      </c>
      <c r="D6" s="11">
        <v>2.65</v>
      </c>
      <c r="E6" s="18">
        <v>0.06</v>
      </c>
      <c r="F6" s="10">
        <f t="shared" ref="F6" si="0">D6+(D6*E6)</f>
        <v>2.8089999999999997</v>
      </c>
      <c r="G6" s="16">
        <f t="shared" ref="G6" si="1">C6*D6</f>
        <v>0.053</v>
      </c>
    </row>
    <row r="7" spans="2:7" ht="15" thickTop="1" x14ac:dyDescent="0.3">
      <c r="B7" s="26" t="s">
        <v>11</v>
      </c>
      <c r="C7" s="27"/>
      <c r="D7" s="27"/>
      <c r="E7" s="27"/>
      <c r="F7" s="27"/>
      <c r="G7" s="12">
        <f>SUM(G5:G6)</f>
        <v>0.5524450610432853</v>
      </c>
    </row>
    <row r="8" spans="2:7" x14ac:dyDescent="0.3">
      <c r="B8" s="28" t="s">
        <v>2</v>
      </c>
      <c r="C8" s="29"/>
      <c r="D8" s="29"/>
      <c r="E8" s="29"/>
      <c r="F8" s="29"/>
      <c r="G8" s="15">
        <v>4</v>
      </c>
    </row>
    <row r="9" spans="2:7" x14ac:dyDescent="0.3">
      <c r="B9" s="30" t="s">
        <v>12</v>
      </c>
      <c r="C9" s="31"/>
      <c r="D9" s="31"/>
      <c r="E9" s="31"/>
      <c r="F9" s="31"/>
      <c r="G9" s="15">
        <f>G8/1.13</f>
        <v>3.5398230088495577</v>
      </c>
    </row>
    <row r="10" spans="2:7" ht="15" thickBot="1" x14ac:dyDescent="0.35">
      <c r="B10" s="19" t="s">
        <v>3</v>
      </c>
      <c r="C10" s="20"/>
      <c r="D10" s="20"/>
      <c r="E10" s="20"/>
      <c r="F10" s="20"/>
      <c r="G10" s="9">
        <f>G7/G9</f>
        <v>0.15606572974472807</v>
      </c>
    </row>
    <row r="11" spans="2:7" ht="15" thickTop="1" x14ac:dyDescent="0.3">
      <c r="B11" s="1"/>
      <c r="C11" s="1"/>
      <c r="D11" s="1"/>
      <c r="E11" s="1"/>
      <c r="F11" s="1"/>
      <c r="G11" s="1"/>
    </row>
    <row r="12" spans="2:7" x14ac:dyDescent="0.3">
      <c r="B12" s="21" t="s">
        <v>4</v>
      </c>
      <c r="C12" s="21"/>
      <c r="D12" s="21"/>
      <c r="E12" s="21"/>
      <c r="F12" s="21"/>
      <c r="G12" s="21"/>
    </row>
    <row r="13" spans="2:7" x14ac:dyDescent="0.3">
      <c r="B13" s="22" t="s">
        <v>5</v>
      </c>
      <c r="C13" s="22"/>
      <c r="D13" s="22"/>
      <c r="E13" s="22"/>
      <c r="F13" s="22"/>
      <c r="G13" s="22"/>
    </row>
  </sheetData>
  <mergeCells count="7">
    <mergeCell ref="B10:F10"/>
    <mergeCell ref="B12:G12"/>
    <mergeCell ref="B13:G13"/>
    <mergeCell ref="B2:G2"/>
    <mergeCell ref="B7:F7"/>
    <mergeCell ref="B8:F8"/>
    <mergeCell ref="B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9086-C419-40EA-9866-092AC18A2B0D}">
  <dimension ref="B1:G15"/>
  <sheetViews>
    <sheetView workbookViewId="0">
      <selection activeCell="D5" sqref="D5:D8"/>
    </sheetView>
  </sheetViews>
  <sheetFormatPr defaultRowHeight="14.4" x14ac:dyDescent="0.3"/>
  <cols>
    <col min="2" max="2" width="20.77734375" style="5" customWidth="1"/>
    <col min="3" max="4" width="12.77734375" style="5" customWidth="1"/>
    <col min="5" max="5" width="6.77734375" style="5" customWidth="1"/>
    <col min="6" max="7" width="12.77734375" style="5" customWidth="1"/>
  </cols>
  <sheetData>
    <row r="1" spans="2:7" ht="15" thickBot="1" x14ac:dyDescent="0.35"/>
    <row r="2" spans="2:7" ht="18" thickBot="1" x14ac:dyDescent="0.35">
      <c r="B2" s="23" t="s">
        <v>14</v>
      </c>
      <c r="C2" s="24"/>
      <c r="D2" s="24"/>
      <c r="E2" s="24"/>
      <c r="F2" s="24"/>
      <c r="G2" s="25"/>
    </row>
    <row r="3" spans="2:7" ht="15" thickBot="1" x14ac:dyDescent="0.35">
      <c r="B3" s="1"/>
      <c r="C3" s="1"/>
      <c r="D3" s="1"/>
      <c r="E3" s="1"/>
      <c r="F3" s="1"/>
      <c r="G3" s="1"/>
    </row>
    <row r="4" spans="2:7" ht="15" thickTop="1" x14ac:dyDescent="0.3">
      <c r="B4" s="2" t="s">
        <v>0</v>
      </c>
      <c r="C4" s="3" t="s">
        <v>1</v>
      </c>
      <c r="D4" s="6" t="s">
        <v>6</v>
      </c>
      <c r="E4" s="6" t="s">
        <v>7</v>
      </c>
      <c r="F4" s="6" t="s">
        <v>8</v>
      </c>
      <c r="G4" s="4" t="s">
        <v>9</v>
      </c>
    </row>
    <row r="5" spans="2:7" x14ac:dyDescent="0.3">
      <c r="B5" s="7" t="s">
        <v>20</v>
      </c>
      <c r="C5" s="8">
        <v>2</v>
      </c>
      <c r="D5" s="11">
        <v>0.24972253052164262</v>
      </c>
      <c r="E5" s="17">
        <v>0.06</v>
      </c>
      <c r="F5" s="10">
        <f>D5+(D5*E5)</f>
        <v>0.2647058823529412</v>
      </c>
      <c r="G5" s="16">
        <f>D5*C5</f>
        <v>0.49944506104328523</v>
      </c>
    </row>
    <row r="6" spans="2:7" x14ac:dyDescent="0.3">
      <c r="B6" s="7" t="s">
        <v>27</v>
      </c>
      <c r="C6" s="8">
        <v>0.08</v>
      </c>
      <c r="D6" s="11">
        <v>4.54</v>
      </c>
      <c r="E6" s="17">
        <v>0.06</v>
      </c>
      <c r="F6" s="10">
        <f t="shared" ref="F6:F8" si="0">D6+(D6*E6)</f>
        <v>4.8124</v>
      </c>
      <c r="G6" s="16">
        <f>D6*C6</f>
        <v>0.3632</v>
      </c>
    </row>
    <row r="7" spans="2:7" x14ac:dyDescent="0.3">
      <c r="B7" s="7" t="s">
        <v>21</v>
      </c>
      <c r="C7" s="8">
        <v>4.4999999999999998E-2</v>
      </c>
      <c r="D7" s="11">
        <v>3.57</v>
      </c>
      <c r="E7" s="17">
        <v>0.23</v>
      </c>
      <c r="F7" s="10">
        <f t="shared" si="0"/>
        <v>4.3911</v>
      </c>
      <c r="G7" s="16">
        <f t="shared" ref="G7:G8" si="1">D7*C7</f>
        <v>0.16065</v>
      </c>
    </row>
    <row r="8" spans="2:7" ht="15" thickBot="1" x14ac:dyDescent="0.35">
      <c r="B8" s="7" t="s">
        <v>26</v>
      </c>
      <c r="C8" s="8">
        <v>0.01</v>
      </c>
      <c r="D8" s="11">
        <v>2.65</v>
      </c>
      <c r="E8" s="17">
        <v>0.06</v>
      </c>
      <c r="F8" s="10">
        <f t="shared" si="0"/>
        <v>2.8089999999999997</v>
      </c>
      <c r="G8" s="16">
        <f t="shared" si="1"/>
        <v>0.0265</v>
      </c>
    </row>
    <row r="9" spans="2:7" ht="15" thickTop="1" x14ac:dyDescent="0.3">
      <c r="B9" s="26" t="s">
        <v>11</v>
      </c>
      <c r="C9" s="27"/>
      <c r="D9" s="27"/>
      <c r="E9" s="27"/>
      <c r="F9" s="27"/>
      <c r="G9" s="13">
        <f>SUM(G5:G8)</f>
        <v>1.0497950610432851</v>
      </c>
    </row>
    <row r="10" spans="2:7" x14ac:dyDescent="0.3">
      <c r="B10" s="28" t="s">
        <v>2</v>
      </c>
      <c r="C10" s="29"/>
      <c r="D10" s="29"/>
      <c r="E10" s="29"/>
      <c r="F10" s="29"/>
      <c r="G10" s="14">
        <v>8.5</v>
      </c>
    </row>
    <row r="11" spans="2:7" x14ac:dyDescent="0.3">
      <c r="B11" s="30" t="s">
        <v>12</v>
      </c>
      <c r="C11" s="31"/>
      <c r="D11" s="31"/>
      <c r="E11" s="31"/>
      <c r="F11" s="31"/>
      <c r="G11" s="15">
        <f>G10/1.13</f>
        <v>7.5221238938053103</v>
      </c>
    </row>
    <row r="12" spans="2:7" ht="15" thickBot="1" x14ac:dyDescent="0.35">
      <c r="B12" s="19" t="s">
        <v>3</v>
      </c>
      <c r="C12" s="20"/>
      <c r="D12" s="20"/>
      <c r="E12" s="20"/>
      <c r="F12" s="20"/>
      <c r="G12" s="9">
        <f>G9/G11</f>
        <v>0.1395609904681073</v>
      </c>
    </row>
    <row r="13" spans="2:7" ht="15" thickTop="1" x14ac:dyDescent="0.3">
      <c r="B13" s="1"/>
      <c r="C13" s="1"/>
      <c r="D13" s="1"/>
      <c r="E13" s="1"/>
      <c r="F13" s="1"/>
      <c r="G13" s="1"/>
    </row>
    <row r="14" spans="2:7" x14ac:dyDescent="0.3">
      <c r="B14" s="21" t="s">
        <v>4</v>
      </c>
      <c r="C14" s="21"/>
      <c r="D14" s="21"/>
      <c r="E14" s="21"/>
      <c r="F14" s="21"/>
      <c r="G14" s="21"/>
    </row>
    <row r="15" spans="2:7" x14ac:dyDescent="0.3">
      <c r="B15" s="22" t="s">
        <v>5</v>
      </c>
      <c r="C15" s="22"/>
      <c r="D15" s="22"/>
      <c r="E15" s="22"/>
      <c r="F15" s="22"/>
      <c r="G15" s="22"/>
    </row>
  </sheetData>
  <mergeCells count="7">
    <mergeCell ref="B12:F12"/>
    <mergeCell ref="B14:G14"/>
    <mergeCell ref="B15:G15"/>
    <mergeCell ref="B2:G2"/>
    <mergeCell ref="B9:F9"/>
    <mergeCell ref="B10:F10"/>
    <mergeCell ref="B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3DA0-C3BA-4CB6-9089-CADA90ABF8C5}">
  <dimension ref="B1:G17"/>
  <sheetViews>
    <sheetView workbookViewId="0">
      <selection activeCell="D5" sqref="D5:D10"/>
    </sheetView>
  </sheetViews>
  <sheetFormatPr defaultRowHeight="14.4" x14ac:dyDescent="0.3"/>
  <cols>
    <col min="2" max="2" width="20.77734375" style="5" customWidth="1"/>
    <col min="3" max="4" width="12.77734375" style="5" customWidth="1"/>
    <col min="5" max="5" width="6.77734375" style="5" customWidth="1"/>
    <col min="6" max="7" width="12.77734375" style="5" customWidth="1"/>
  </cols>
  <sheetData>
    <row r="1" spans="2:7" ht="15" thickBot="1" x14ac:dyDescent="0.35"/>
    <row r="2" spans="2:7" ht="18" thickBot="1" x14ac:dyDescent="0.35">
      <c r="B2" s="23" t="s">
        <v>15</v>
      </c>
      <c r="C2" s="24"/>
      <c r="D2" s="24"/>
      <c r="E2" s="24"/>
      <c r="F2" s="24"/>
      <c r="G2" s="25"/>
    </row>
    <row r="3" spans="2:7" ht="15" thickBot="1" x14ac:dyDescent="0.35">
      <c r="B3" s="1"/>
      <c r="C3" s="1"/>
      <c r="D3" s="1"/>
      <c r="E3" s="1"/>
      <c r="F3" s="1"/>
      <c r="G3" s="1"/>
    </row>
    <row r="4" spans="2:7" ht="15" thickTop="1" x14ac:dyDescent="0.3">
      <c r="B4" s="2" t="s">
        <v>0</v>
      </c>
      <c r="C4" s="3" t="s">
        <v>1</v>
      </c>
      <c r="D4" s="6" t="s">
        <v>6</v>
      </c>
      <c r="E4" s="6" t="s">
        <v>7</v>
      </c>
      <c r="F4" s="6" t="s">
        <v>8</v>
      </c>
      <c r="G4" s="4" t="s">
        <v>9</v>
      </c>
    </row>
    <row r="5" spans="2:7" x14ac:dyDescent="0.3">
      <c r="B5" s="7" t="s">
        <v>20</v>
      </c>
      <c r="C5" s="8">
        <v>2</v>
      </c>
      <c r="D5" s="11">
        <v>0.24972253052164262</v>
      </c>
      <c r="E5" s="17">
        <v>0.06</v>
      </c>
      <c r="F5" s="10">
        <f>D5+(D5*E5)</f>
        <v>0.2647058823529412</v>
      </c>
      <c r="G5" s="16">
        <f>D5*C5</f>
        <v>0.49944506104328523</v>
      </c>
    </row>
    <row r="6" spans="2:7" x14ac:dyDescent="0.3">
      <c r="B6" s="7" t="s">
        <v>36</v>
      </c>
      <c r="C6" s="8">
        <v>0.14000000000000001</v>
      </c>
      <c r="D6" s="11">
        <v>4.4817100000000005</v>
      </c>
      <c r="E6" s="18">
        <v>0.13</v>
      </c>
      <c r="F6" s="10">
        <f t="shared" ref="F6:F10" si="0">D6+(D6*E6)</f>
        <v>5.0643323</v>
      </c>
      <c r="G6" s="16">
        <f t="shared" ref="G6:G10" si="1">D6*C6</f>
        <v>0.6274394000000001</v>
      </c>
    </row>
    <row r="7" spans="2:7" x14ac:dyDescent="0.3">
      <c r="B7" s="7" t="s">
        <v>26</v>
      </c>
      <c r="C7" s="8">
        <v>0.01</v>
      </c>
      <c r="D7" s="11">
        <v>2.65</v>
      </c>
      <c r="E7" s="17">
        <v>0.06</v>
      </c>
      <c r="F7" s="10">
        <f t="shared" si="0"/>
        <v>2.8089999999999997</v>
      </c>
      <c r="G7" s="16">
        <f t="shared" si="1"/>
        <v>0.0265</v>
      </c>
    </row>
    <row r="8" spans="2:7" x14ac:dyDescent="0.3">
      <c r="B8" s="7" t="s">
        <v>22</v>
      </c>
      <c r="C8" s="8">
        <v>2E-3</v>
      </c>
      <c r="D8" s="11">
        <v>12.8</v>
      </c>
      <c r="E8" s="17">
        <v>0.06</v>
      </c>
      <c r="F8" s="10">
        <f t="shared" si="0"/>
        <v>13.568000000000001</v>
      </c>
      <c r="G8" s="16">
        <f t="shared" si="1"/>
        <v>0.0256</v>
      </c>
    </row>
    <row r="9" spans="2:7" x14ac:dyDescent="0.3">
      <c r="B9" s="7" t="s">
        <v>27</v>
      </c>
      <c r="C9" s="8">
        <v>0.04</v>
      </c>
      <c r="D9" s="11">
        <v>4.54</v>
      </c>
      <c r="E9" s="17">
        <v>0.06</v>
      </c>
      <c r="F9" s="10">
        <f t="shared" si="0"/>
        <v>4.8124</v>
      </c>
      <c r="G9" s="16">
        <f t="shared" si="1"/>
        <v>0.1816</v>
      </c>
    </row>
    <row r="10" spans="2:7" ht="15" thickBot="1" x14ac:dyDescent="0.35">
      <c r="B10" s="7" t="s">
        <v>28</v>
      </c>
      <c r="C10" s="8">
        <v>0.01</v>
      </c>
      <c r="D10" s="11">
        <v>2.02</v>
      </c>
      <c r="E10" s="17">
        <v>0.23</v>
      </c>
      <c r="F10" s="10">
        <f t="shared" si="0"/>
        <v>2.4846</v>
      </c>
      <c r="G10" s="16">
        <f t="shared" si="1"/>
        <v>0.0202</v>
      </c>
    </row>
    <row r="11" spans="2:7" ht="15" thickTop="1" x14ac:dyDescent="0.3">
      <c r="B11" s="26" t="s">
        <v>11</v>
      </c>
      <c r="C11" s="27"/>
      <c r="D11" s="27"/>
      <c r="E11" s="27"/>
      <c r="F11" s="27"/>
      <c r="G11" s="12">
        <f>SUM(G5:G10)</f>
        <v>1.3807844610432853</v>
      </c>
    </row>
    <row r="12" spans="2:7" x14ac:dyDescent="0.3">
      <c r="B12" s="28" t="s">
        <v>2</v>
      </c>
      <c r="C12" s="29"/>
      <c r="D12" s="29"/>
      <c r="E12" s="29"/>
      <c r="F12" s="29"/>
      <c r="G12" s="15">
        <v>9.5</v>
      </c>
    </row>
    <row r="13" spans="2:7" x14ac:dyDescent="0.3">
      <c r="B13" s="30" t="s">
        <v>12</v>
      </c>
      <c r="C13" s="31"/>
      <c r="D13" s="31"/>
      <c r="E13" s="31"/>
      <c r="F13" s="31"/>
      <c r="G13" s="15">
        <f>G12/1.13</f>
        <v>8.4070796460176993</v>
      </c>
    </row>
    <row r="14" spans="2:7" ht="15" thickBot="1" x14ac:dyDescent="0.35">
      <c r="B14" s="19" t="s">
        <v>3</v>
      </c>
      <c r="C14" s="20"/>
      <c r="D14" s="20"/>
      <c r="E14" s="20"/>
      <c r="F14" s="20"/>
      <c r="G14" s="9">
        <f>G11/G13</f>
        <v>0.16424067799778025</v>
      </c>
    </row>
    <row r="15" spans="2:7" ht="15" thickTop="1" x14ac:dyDescent="0.3">
      <c r="B15" s="1"/>
      <c r="C15" s="1"/>
      <c r="D15" s="1"/>
      <c r="E15" s="1"/>
      <c r="F15" s="1"/>
      <c r="G15" s="1"/>
    </row>
    <row r="16" spans="2:7" x14ac:dyDescent="0.3">
      <c r="B16" s="21" t="s">
        <v>4</v>
      </c>
      <c r="C16" s="21"/>
      <c r="D16" s="21"/>
      <c r="E16" s="21"/>
      <c r="F16" s="21"/>
      <c r="G16" s="21"/>
    </row>
    <row r="17" spans="2:7" x14ac:dyDescent="0.3">
      <c r="B17" s="22" t="s">
        <v>5</v>
      </c>
      <c r="C17" s="22"/>
      <c r="D17" s="22"/>
      <c r="E17" s="22"/>
      <c r="F17" s="22"/>
      <c r="G17" s="22"/>
    </row>
  </sheetData>
  <mergeCells count="7">
    <mergeCell ref="B14:F14"/>
    <mergeCell ref="B16:G16"/>
    <mergeCell ref="B17:G17"/>
    <mergeCell ref="B2:G2"/>
    <mergeCell ref="B11:F11"/>
    <mergeCell ref="B12:F12"/>
    <mergeCell ref="B13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16D4F-5C81-45B7-88AC-0A580ED07E7A}">
  <dimension ref="B1:G17"/>
  <sheetViews>
    <sheetView workbookViewId="0">
      <selection activeCell="D5" sqref="D5:D10"/>
    </sheetView>
  </sheetViews>
  <sheetFormatPr defaultRowHeight="14.4" x14ac:dyDescent="0.3"/>
  <cols>
    <col min="2" max="2" width="20.77734375" style="5" customWidth="1"/>
    <col min="3" max="4" width="12.77734375" style="5" customWidth="1"/>
    <col min="5" max="5" width="6.77734375" style="5" customWidth="1"/>
    <col min="6" max="7" width="12.77734375" style="5" customWidth="1"/>
  </cols>
  <sheetData>
    <row r="1" spans="2:7" ht="15" thickBot="1" x14ac:dyDescent="0.35"/>
    <row r="2" spans="2:7" ht="18" thickBot="1" x14ac:dyDescent="0.35">
      <c r="B2" s="23" t="s">
        <v>16</v>
      </c>
      <c r="C2" s="24"/>
      <c r="D2" s="24"/>
      <c r="E2" s="24"/>
      <c r="F2" s="24"/>
      <c r="G2" s="25"/>
    </row>
    <row r="3" spans="2:7" ht="15" thickBot="1" x14ac:dyDescent="0.35">
      <c r="B3" s="1"/>
      <c r="C3" s="1"/>
      <c r="D3" s="1"/>
      <c r="E3" s="1"/>
      <c r="F3" s="1"/>
      <c r="G3" s="1"/>
    </row>
    <row r="4" spans="2:7" ht="15" thickTop="1" x14ac:dyDescent="0.3">
      <c r="B4" s="2" t="s">
        <v>0</v>
      </c>
      <c r="C4" s="3" t="s">
        <v>1</v>
      </c>
      <c r="D4" s="6" t="s">
        <v>6</v>
      </c>
      <c r="E4" s="6" t="s">
        <v>7</v>
      </c>
      <c r="F4" s="6" t="s">
        <v>8</v>
      </c>
      <c r="G4" s="4" t="s">
        <v>9</v>
      </c>
    </row>
    <row r="5" spans="2:7" x14ac:dyDescent="0.3">
      <c r="B5" s="7" t="s">
        <v>20</v>
      </c>
      <c r="C5" s="8">
        <v>2</v>
      </c>
      <c r="D5" s="11">
        <v>0.24972253052164262</v>
      </c>
      <c r="E5" s="17">
        <v>0.06</v>
      </c>
      <c r="F5" s="10">
        <f>D5+(D5*E5)</f>
        <v>0.2647058823529412</v>
      </c>
      <c r="G5" s="16">
        <f>D5*C5</f>
        <v>0.49944506104328523</v>
      </c>
    </row>
    <row r="6" spans="2:7" x14ac:dyDescent="0.3">
      <c r="B6" s="7" t="s">
        <v>35</v>
      </c>
      <c r="C6" s="8">
        <v>0.14000000000000001</v>
      </c>
      <c r="D6" s="11">
        <v>4.028289245283019</v>
      </c>
      <c r="E6" s="18">
        <v>0.13</v>
      </c>
      <c r="F6" s="10">
        <f t="shared" ref="F6:F10" si="0">D6+(D6*E6)</f>
        <v>4.551966847169811</v>
      </c>
      <c r="G6" s="16">
        <f t="shared" ref="G6:G10" si="1">D6*C6</f>
        <v>0.5639604943396227</v>
      </c>
    </row>
    <row r="7" spans="2:7" x14ac:dyDescent="0.3">
      <c r="B7" s="7" t="s">
        <v>22</v>
      </c>
      <c r="C7" s="8">
        <v>2E-3</v>
      </c>
      <c r="D7" s="11">
        <v>12.8</v>
      </c>
      <c r="E7" s="17">
        <v>0.06</v>
      </c>
      <c r="F7" s="10">
        <f t="shared" si="0"/>
        <v>13.568000000000001</v>
      </c>
      <c r="G7" s="16">
        <f t="shared" si="1"/>
        <v>0.0256</v>
      </c>
    </row>
    <row r="8" spans="2:7" x14ac:dyDescent="0.3">
      <c r="B8" s="7" t="s">
        <v>27</v>
      </c>
      <c r="C8" s="8">
        <v>0.04</v>
      </c>
      <c r="D8" s="11">
        <v>4.54</v>
      </c>
      <c r="E8" s="17">
        <v>0.06</v>
      </c>
      <c r="F8" s="10">
        <f t="shared" si="0"/>
        <v>4.8124</v>
      </c>
      <c r="G8" s="16">
        <f t="shared" si="1"/>
        <v>0.1816</v>
      </c>
    </row>
    <row r="9" spans="2:7" x14ac:dyDescent="0.3">
      <c r="B9" s="7" t="s">
        <v>29</v>
      </c>
      <c r="C9" s="8">
        <v>4.0000000000000001E-3</v>
      </c>
      <c r="D9" s="11">
        <v>4.585</v>
      </c>
      <c r="E9" s="17">
        <v>0.23</v>
      </c>
      <c r="F9" s="10">
        <f t="shared" si="0"/>
        <v>5.63955</v>
      </c>
      <c r="G9" s="16">
        <f t="shared" si="1"/>
        <v>0.01834</v>
      </c>
    </row>
    <row r="10" spans="2:7" ht="15" thickBot="1" x14ac:dyDescent="0.35">
      <c r="B10" s="7" t="s">
        <v>26</v>
      </c>
      <c r="C10" s="8">
        <v>0.01</v>
      </c>
      <c r="D10" s="11">
        <v>2.65</v>
      </c>
      <c r="E10" s="17">
        <v>0.06</v>
      </c>
      <c r="F10" s="10">
        <f t="shared" si="0"/>
        <v>2.8089999999999997</v>
      </c>
      <c r="G10" s="16">
        <f t="shared" si="1"/>
        <v>0.0265</v>
      </c>
    </row>
    <row r="11" spans="2:7" ht="15" thickTop="1" x14ac:dyDescent="0.3">
      <c r="B11" s="26" t="s">
        <v>11</v>
      </c>
      <c r="C11" s="27"/>
      <c r="D11" s="27"/>
      <c r="E11" s="27"/>
      <c r="F11" s="27"/>
      <c r="G11" s="12">
        <f>SUM(G5:G10)</f>
        <v>1.315445555382908</v>
      </c>
    </row>
    <row r="12" spans="2:7" x14ac:dyDescent="0.3">
      <c r="B12" s="28" t="s">
        <v>2</v>
      </c>
      <c r="C12" s="29"/>
      <c r="D12" s="29"/>
      <c r="E12" s="29"/>
      <c r="F12" s="29"/>
      <c r="G12" s="15">
        <v>9.5</v>
      </c>
    </row>
    <row r="13" spans="2:7" x14ac:dyDescent="0.3">
      <c r="B13" s="30" t="s">
        <v>12</v>
      </c>
      <c r="C13" s="31"/>
      <c r="D13" s="31"/>
      <c r="E13" s="31"/>
      <c r="F13" s="31"/>
      <c r="G13" s="15">
        <f>G12/1.13</f>
        <v>8.4070796460176993</v>
      </c>
    </row>
    <row r="14" spans="2:7" ht="15" thickBot="1" x14ac:dyDescent="0.35">
      <c r="B14" s="19" t="s">
        <v>3</v>
      </c>
      <c r="C14" s="20"/>
      <c r="D14" s="20"/>
      <c r="E14" s="20"/>
      <c r="F14" s="20"/>
      <c r="G14" s="9">
        <f>G11/G13</f>
        <v>0.15646878711396695</v>
      </c>
    </row>
    <row r="15" spans="2:7" ht="15" thickTop="1" x14ac:dyDescent="0.3">
      <c r="B15" s="1"/>
      <c r="C15" s="1"/>
      <c r="D15" s="1"/>
      <c r="E15" s="1"/>
      <c r="F15" s="1"/>
      <c r="G15" s="1"/>
    </row>
    <row r="16" spans="2:7" x14ac:dyDescent="0.3">
      <c r="B16" s="21" t="s">
        <v>4</v>
      </c>
      <c r="C16" s="21"/>
      <c r="D16" s="21"/>
      <c r="E16" s="21"/>
      <c r="F16" s="21"/>
      <c r="G16" s="21"/>
    </row>
    <row r="17" spans="2:7" x14ac:dyDescent="0.3">
      <c r="B17" s="22" t="s">
        <v>5</v>
      </c>
      <c r="C17" s="22"/>
      <c r="D17" s="22"/>
      <c r="E17" s="22"/>
      <c r="F17" s="22"/>
      <c r="G17" s="22"/>
    </row>
  </sheetData>
  <mergeCells count="7">
    <mergeCell ref="B14:F14"/>
    <mergeCell ref="B16:G16"/>
    <mergeCell ref="B17:G17"/>
    <mergeCell ref="B2:G2"/>
    <mergeCell ref="B11:F11"/>
    <mergeCell ref="B12:F12"/>
    <mergeCell ref="B13:F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E302-5C28-423B-BA47-9E2D335B793A}">
  <dimension ref="B1:G18"/>
  <sheetViews>
    <sheetView workbookViewId="0">
      <selection activeCell="D5" sqref="D5:D11"/>
    </sheetView>
  </sheetViews>
  <sheetFormatPr defaultRowHeight="14.4" x14ac:dyDescent="0.3"/>
  <cols>
    <col min="2" max="2" width="20.77734375" style="5" customWidth="1"/>
    <col min="3" max="4" width="12.77734375" style="5" customWidth="1"/>
    <col min="5" max="5" width="6.77734375" style="5" customWidth="1"/>
    <col min="6" max="7" width="12.77734375" style="5" customWidth="1"/>
  </cols>
  <sheetData>
    <row r="1" spans="2:7" ht="15" thickBot="1" x14ac:dyDescent="0.35"/>
    <row r="2" spans="2:7" ht="18" thickBot="1" x14ac:dyDescent="0.35">
      <c r="B2" s="23" t="s">
        <v>17</v>
      </c>
      <c r="C2" s="24"/>
      <c r="D2" s="24"/>
      <c r="E2" s="24"/>
      <c r="F2" s="24"/>
      <c r="G2" s="25"/>
    </row>
    <row r="3" spans="2:7" ht="15" thickBot="1" x14ac:dyDescent="0.35">
      <c r="B3" s="1"/>
      <c r="C3" s="1"/>
      <c r="D3" s="1"/>
      <c r="E3" s="1"/>
      <c r="F3" s="1"/>
      <c r="G3" s="1"/>
    </row>
    <row r="4" spans="2:7" ht="15" thickTop="1" x14ac:dyDescent="0.3">
      <c r="B4" s="2" t="s">
        <v>0</v>
      </c>
      <c r="C4" s="3" t="s">
        <v>1</v>
      </c>
      <c r="D4" s="6" t="s">
        <v>6</v>
      </c>
      <c r="E4" s="6" t="s">
        <v>7</v>
      </c>
      <c r="F4" s="6" t="s">
        <v>8</v>
      </c>
      <c r="G4" s="4" t="s">
        <v>9</v>
      </c>
    </row>
    <row r="5" spans="2:7" x14ac:dyDescent="0.3">
      <c r="B5" s="7" t="s">
        <v>20</v>
      </c>
      <c r="C5" s="8">
        <v>1</v>
      </c>
      <c r="D5" s="11">
        <v>0.24972253052164262</v>
      </c>
      <c r="E5" s="18">
        <v>0.06</v>
      </c>
      <c r="F5" s="10">
        <f>D5+(D5*E5)</f>
        <v>0.2647058823529412</v>
      </c>
      <c r="G5" s="16">
        <f>D5*C5</f>
        <v>0.24972253052164262</v>
      </c>
    </row>
    <row r="6" spans="2:7" x14ac:dyDescent="0.3">
      <c r="B6" s="7" t="s">
        <v>33</v>
      </c>
      <c r="C6" s="8">
        <v>0.08</v>
      </c>
      <c r="D6" s="11">
        <v>1.28214</v>
      </c>
      <c r="E6" s="18">
        <v>0.13</v>
      </c>
      <c r="F6" s="10">
        <f t="shared" ref="F6:F11" si="0">D6+(D6*E6)</f>
        <v>1.4488182</v>
      </c>
      <c r="G6" s="16">
        <f t="shared" ref="G6:G11" si="1">D6*C6</f>
        <v>0.1025712</v>
      </c>
    </row>
    <row r="7" spans="2:7" x14ac:dyDescent="0.3">
      <c r="B7" s="7" t="s">
        <v>34</v>
      </c>
      <c r="C7" s="8">
        <v>0.13</v>
      </c>
      <c r="D7" s="11">
        <v>3.848285</v>
      </c>
      <c r="E7" s="18">
        <v>0.13</v>
      </c>
      <c r="F7" s="10">
        <f t="shared" si="0"/>
        <v>4.34856205</v>
      </c>
      <c r="G7" s="16">
        <f t="shared" si="1"/>
        <v>0.50027705</v>
      </c>
    </row>
    <row r="8" spans="2:7" x14ac:dyDescent="0.3">
      <c r="B8" s="7" t="s">
        <v>31</v>
      </c>
      <c r="C8" s="8">
        <v>2.5000000000000001E-2</v>
      </c>
      <c r="D8" s="11">
        <v>2.3899699999999995</v>
      </c>
      <c r="E8" s="18">
        <v>0.13</v>
      </c>
      <c r="F8" s="10">
        <f t="shared" si="0"/>
        <v>2.7006660999999994</v>
      </c>
      <c r="G8" s="16">
        <f t="shared" si="1"/>
        <v>0.05974924999999999</v>
      </c>
    </row>
    <row r="9" spans="2:7" x14ac:dyDescent="0.3">
      <c r="B9" s="7" t="s">
        <v>22</v>
      </c>
      <c r="C9" s="8">
        <v>1.4999999999999999E-2</v>
      </c>
      <c r="D9" s="11">
        <v>12.8</v>
      </c>
      <c r="E9" s="18">
        <v>0.06</v>
      </c>
      <c r="F9" s="10">
        <f t="shared" si="0"/>
        <v>13.568000000000001</v>
      </c>
      <c r="G9" s="16">
        <f t="shared" si="1"/>
        <v>0.192</v>
      </c>
    </row>
    <row r="10" spans="2:7" x14ac:dyDescent="0.3">
      <c r="B10" s="7" t="s">
        <v>24</v>
      </c>
      <c r="C10" s="8">
        <v>2E-3</v>
      </c>
      <c r="D10" s="11">
        <v>2.8</v>
      </c>
      <c r="E10" s="18">
        <v>0.06</v>
      </c>
      <c r="F10" s="10">
        <f t="shared" si="0"/>
        <v>2.968</v>
      </c>
      <c r="G10" s="16">
        <f t="shared" si="1"/>
        <v>0.0056</v>
      </c>
    </row>
    <row r="11" spans="2:7" ht="15" thickBot="1" x14ac:dyDescent="0.35">
      <c r="B11" s="7" t="s">
        <v>30</v>
      </c>
      <c r="C11" s="8">
        <v>5.0000000000000001E-3</v>
      </c>
      <c r="D11" s="11">
        <v>2.98</v>
      </c>
      <c r="E11" s="18">
        <v>0.06</v>
      </c>
      <c r="F11" s="10">
        <f t="shared" si="0"/>
        <v>3.1588</v>
      </c>
      <c r="G11" s="16">
        <f t="shared" si="1"/>
        <v>0.0149</v>
      </c>
    </row>
    <row r="12" spans="2:7" ht="15" thickTop="1" x14ac:dyDescent="0.3">
      <c r="B12" s="26" t="s">
        <v>11</v>
      </c>
      <c r="C12" s="27"/>
      <c r="D12" s="27"/>
      <c r="E12" s="27"/>
      <c r="F12" s="27"/>
      <c r="G12" s="12">
        <f>SUM(G5:G11)</f>
        <v>1.1248200305216425</v>
      </c>
    </row>
    <row r="13" spans="2:7" x14ac:dyDescent="0.3">
      <c r="B13" s="28" t="s">
        <v>2</v>
      </c>
      <c r="C13" s="29"/>
      <c r="D13" s="29"/>
      <c r="E13" s="29"/>
      <c r="F13" s="29"/>
      <c r="G13" s="15">
        <v>9.5</v>
      </c>
    </row>
    <row r="14" spans="2:7" x14ac:dyDescent="0.3">
      <c r="B14" s="30" t="s">
        <v>12</v>
      </c>
      <c r="C14" s="31"/>
      <c r="D14" s="31"/>
      <c r="E14" s="31"/>
      <c r="F14" s="31"/>
      <c r="G14" s="15">
        <f>G13/1.13</f>
        <v>8.4070796460176993</v>
      </c>
    </row>
    <row r="15" spans="2:7" ht="15" thickBot="1" x14ac:dyDescent="0.35">
      <c r="B15" s="19" t="s">
        <v>3</v>
      </c>
      <c r="C15" s="20"/>
      <c r="D15" s="20"/>
      <c r="E15" s="20"/>
      <c r="F15" s="20"/>
      <c r="G15" s="9">
        <f>G12/G14</f>
        <v>0.13379438257783746</v>
      </c>
    </row>
    <row r="16" spans="2:7" ht="15" thickTop="1" x14ac:dyDescent="0.3">
      <c r="B16" s="1"/>
      <c r="C16" s="1"/>
      <c r="D16" s="1"/>
      <c r="E16" s="1"/>
      <c r="F16" s="1"/>
      <c r="G16" s="1"/>
    </row>
    <row r="17" spans="2:7" x14ac:dyDescent="0.3">
      <c r="B17" s="21" t="s">
        <v>4</v>
      </c>
      <c r="C17" s="21"/>
      <c r="D17" s="21"/>
      <c r="E17" s="21"/>
      <c r="F17" s="21"/>
      <c r="G17" s="21"/>
    </row>
    <row r="18" spans="2:7" x14ac:dyDescent="0.3">
      <c r="B18" s="22" t="s">
        <v>5</v>
      </c>
      <c r="C18" s="22"/>
      <c r="D18" s="22"/>
      <c r="E18" s="22"/>
      <c r="F18" s="22"/>
      <c r="G18" s="22"/>
    </row>
  </sheetData>
  <mergeCells count="7">
    <mergeCell ref="B15:F15"/>
    <mergeCell ref="B17:G17"/>
    <mergeCell ref="B18:G18"/>
    <mergeCell ref="B2:G2"/>
    <mergeCell ref="B12:F12"/>
    <mergeCell ref="B13:F13"/>
    <mergeCell ref="B14:F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781D-91FA-4765-863D-C8644FE5163D}">
  <dimension ref="B1:G17"/>
  <sheetViews>
    <sheetView topLeftCell="A3" workbookViewId="0">
      <selection activeCell="D5" sqref="D5:D10"/>
    </sheetView>
  </sheetViews>
  <sheetFormatPr defaultRowHeight="14.4" x14ac:dyDescent="0.3"/>
  <cols>
    <col min="2" max="2" width="20.77734375" style="5" customWidth="1"/>
    <col min="3" max="4" width="12.77734375" style="5" customWidth="1"/>
    <col min="5" max="5" width="6.77734375" style="5" customWidth="1"/>
    <col min="6" max="7" width="12.77734375" style="5" customWidth="1"/>
  </cols>
  <sheetData>
    <row r="1" spans="2:7" ht="15" thickBot="1" x14ac:dyDescent="0.35"/>
    <row r="2" spans="2:7" ht="18" thickBot="1" x14ac:dyDescent="0.35">
      <c r="B2" s="23" t="s">
        <v>18</v>
      </c>
      <c r="C2" s="24"/>
      <c r="D2" s="24"/>
      <c r="E2" s="24"/>
      <c r="F2" s="24"/>
      <c r="G2" s="25"/>
    </row>
    <row r="3" spans="2:7" ht="15" thickBot="1" x14ac:dyDescent="0.35">
      <c r="B3" s="1"/>
      <c r="C3" s="1"/>
      <c r="D3" s="1"/>
      <c r="E3" s="1"/>
      <c r="F3" s="1"/>
      <c r="G3" s="1"/>
    </row>
    <row r="4" spans="2:7" ht="15" thickTop="1" x14ac:dyDescent="0.3">
      <c r="B4" s="2" t="s">
        <v>0</v>
      </c>
      <c r="C4" s="3" t="s">
        <v>1</v>
      </c>
      <c r="D4" s="6" t="s">
        <v>6</v>
      </c>
      <c r="E4" s="6" t="s">
        <v>7</v>
      </c>
      <c r="F4" s="6" t="s">
        <v>8</v>
      </c>
      <c r="G4" s="4" t="s">
        <v>9</v>
      </c>
    </row>
    <row r="5" spans="2:7" x14ac:dyDescent="0.3">
      <c r="B5" s="7" t="s">
        <v>20</v>
      </c>
      <c r="C5" s="8">
        <v>1</v>
      </c>
      <c r="D5" s="11">
        <v>0.24972253052164262</v>
      </c>
      <c r="E5" s="18">
        <v>0.06</v>
      </c>
      <c r="F5" s="10">
        <f>D5+(D5*E5)</f>
        <v>0.2647058823529412</v>
      </c>
      <c r="G5" s="16">
        <f>D5*C5</f>
        <v>0.24972253052164262</v>
      </c>
    </row>
    <row r="6" spans="2:7" x14ac:dyDescent="0.3">
      <c r="B6" s="7" t="s">
        <v>10</v>
      </c>
      <c r="C6" s="8">
        <v>0.05</v>
      </c>
      <c r="D6" s="11">
        <v>4.93</v>
      </c>
      <c r="E6" s="18">
        <v>0.06</v>
      </c>
      <c r="F6" s="10">
        <f t="shared" ref="F6:F10" si="0">D6+(D6*E6)</f>
        <v>5.2258</v>
      </c>
      <c r="G6" s="16">
        <f t="shared" ref="G6:G10" si="1">D6*C6</f>
        <v>0.2465</v>
      </c>
    </row>
    <row r="7" spans="2:7" x14ac:dyDescent="0.3">
      <c r="B7" s="7" t="s">
        <v>32</v>
      </c>
      <c r="C7" s="8">
        <v>7.0000000000000007E-2</v>
      </c>
      <c r="D7" s="11">
        <v>4.1494</v>
      </c>
      <c r="E7" s="18">
        <v>0.13</v>
      </c>
      <c r="F7" s="10">
        <f t="shared" si="0"/>
        <v>4.688822</v>
      </c>
      <c r="G7" s="16">
        <f t="shared" si="1"/>
        <v>0.29045800000000005</v>
      </c>
    </row>
    <row r="8" spans="2:7" x14ac:dyDescent="0.3">
      <c r="B8" s="7" t="s">
        <v>23</v>
      </c>
      <c r="C8" s="8">
        <v>0.14000000000000001</v>
      </c>
      <c r="D8" s="11">
        <v>16.347</v>
      </c>
      <c r="E8" s="18">
        <v>0.23</v>
      </c>
      <c r="F8" s="10">
        <f t="shared" si="0"/>
        <v>20.106810000000003</v>
      </c>
      <c r="G8" s="16">
        <f t="shared" si="1"/>
        <v>2.2885800000000005</v>
      </c>
    </row>
    <row r="9" spans="2:7" x14ac:dyDescent="0.3">
      <c r="B9" s="7" t="s">
        <v>24</v>
      </c>
      <c r="C9" s="8">
        <v>2E-3</v>
      </c>
      <c r="D9" s="11">
        <v>2.8</v>
      </c>
      <c r="E9" s="18">
        <v>0.06</v>
      </c>
      <c r="F9" s="10">
        <f t="shared" si="0"/>
        <v>2.968</v>
      </c>
      <c r="G9" s="16">
        <f t="shared" si="1"/>
        <v>0.0056</v>
      </c>
    </row>
    <row r="10" spans="2:7" ht="15" thickBot="1" x14ac:dyDescent="0.35">
      <c r="B10" s="7" t="s">
        <v>22</v>
      </c>
      <c r="C10" s="8">
        <v>1.4999999999999999E-2</v>
      </c>
      <c r="D10" s="11">
        <v>12.8</v>
      </c>
      <c r="E10" s="18">
        <v>0.06</v>
      </c>
      <c r="F10" s="10">
        <f t="shared" si="0"/>
        <v>13.568000000000001</v>
      </c>
      <c r="G10" s="16">
        <f t="shared" si="1"/>
        <v>0.192</v>
      </c>
    </row>
    <row r="11" spans="2:7" ht="15" thickTop="1" x14ac:dyDescent="0.3">
      <c r="B11" s="26" t="s">
        <v>11</v>
      </c>
      <c r="C11" s="27"/>
      <c r="D11" s="27"/>
      <c r="E11" s="27"/>
      <c r="F11" s="27"/>
      <c r="G11" s="12">
        <f>SUM(G5:G10)</f>
        <v>3.272860530521643</v>
      </c>
    </row>
    <row r="12" spans="2:7" x14ac:dyDescent="0.3">
      <c r="B12" s="28" t="s">
        <v>2</v>
      </c>
      <c r="C12" s="29"/>
      <c r="D12" s="29"/>
      <c r="E12" s="29"/>
      <c r="F12" s="29"/>
      <c r="G12" s="15">
        <v>12</v>
      </c>
    </row>
    <row r="13" spans="2:7" x14ac:dyDescent="0.3">
      <c r="B13" s="30" t="s">
        <v>12</v>
      </c>
      <c r="C13" s="31"/>
      <c r="D13" s="31"/>
      <c r="E13" s="31"/>
      <c r="F13" s="31"/>
      <c r="G13" s="15">
        <f>G12/1.13</f>
        <v>10.619469026548673</v>
      </c>
    </row>
    <row r="14" spans="2:7" ht="15" thickBot="1" x14ac:dyDescent="0.35">
      <c r="B14" s="19" t="s">
        <v>3</v>
      </c>
      <c r="C14" s="20"/>
      <c r="D14" s="20"/>
      <c r="E14" s="20"/>
      <c r="F14" s="20"/>
      <c r="G14" s="9">
        <f>G11/G13</f>
        <v>0.30819436662412136</v>
      </c>
    </row>
    <row r="15" spans="2:7" ht="15" thickTop="1" x14ac:dyDescent="0.3">
      <c r="B15" s="1"/>
      <c r="C15" s="1"/>
      <c r="D15" s="1"/>
      <c r="E15" s="1"/>
      <c r="F15" s="1"/>
      <c r="G15" s="1"/>
    </row>
    <row r="16" spans="2:7" x14ac:dyDescent="0.3">
      <c r="B16" s="21" t="s">
        <v>4</v>
      </c>
      <c r="C16" s="21"/>
      <c r="D16" s="21"/>
      <c r="E16" s="21"/>
      <c r="F16" s="21"/>
      <c r="G16" s="21"/>
    </row>
    <row r="17" spans="2:7" x14ac:dyDescent="0.3">
      <c r="B17" s="22" t="s">
        <v>5</v>
      </c>
      <c r="C17" s="22"/>
      <c r="D17" s="22"/>
      <c r="E17" s="22"/>
      <c r="F17" s="22"/>
      <c r="G17" s="22"/>
    </row>
  </sheetData>
  <mergeCells count="7">
    <mergeCell ref="B14:F14"/>
    <mergeCell ref="B16:G16"/>
    <mergeCell ref="B17:G17"/>
    <mergeCell ref="B2:G2"/>
    <mergeCell ref="B11:F11"/>
    <mergeCell ref="B12:F12"/>
    <mergeCell ref="B13:F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435A5-B20C-457E-BEAB-4E773EE7DD4E}">
  <dimension ref="B1:G19"/>
  <sheetViews>
    <sheetView workbookViewId="0">
      <selection activeCell="D5" sqref="D5:D12"/>
    </sheetView>
  </sheetViews>
  <sheetFormatPr defaultRowHeight="14.4" x14ac:dyDescent="0.3"/>
  <cols>
    <col min="2" max="2" width="20.77734375" style="5" customWidth="1"/>
    <col min="3" max="4" width="12.77734375" style="5" customWidth="1"/>
    <col min="5" max="5" width="6.77734375" style="5" customWidth="1"/>
    <col min="6" max="7" width="12.77734375" style="5" customWidth="1"/>
  </cols>
  <sheetData>
    <row r="1" spans="2:7" ht="15" thickBot="1" x14ac:dyDescent="0.35"/>
    <row r="2" spans="2:7" ht="18" thickBot="1" x14ac:dyDescent="0.35">
      <c r="B2" s="23" t="s">
        <v>19</v>
      </c>
      <c r="C2" s="24"/>
      <c r="D2" s="24"/>
      <c r="E2" s="24"/>
      <c r="F2" s="24"/>
      <c r="G2" s="25"/>
    </row>
    <row r="3" spans="2:7" ht="15" thickBot="1" x14ac:dyDescent="0.35">
      <c r="B3" s="1"/>
      <c r="C3" s="1"/>
      <c r="D3" s="1"/>
      <c r="E3" s="1"/>
      <c r="F3" s="1"/>
      <c r="G3" s="1"/>
    </row>
    <row r="4" spans="2:7" ht="15" thickTop="1" x14ac:dyDescent="0.3">
      <c r="B4" s="2" t="s">
        <v>0</v>
      </c>
      <c r="C4" s="3" t="s">
        <v>1</v>
      </c>
      <c r="D4" s="6" t="s">
        <v>6</v>
      </c>
      <c r="E4" s="6" t="s">
        <v>7</v>
      </c>
      <c r="F4" s="6" t="s">
        <v>8</v>
      </c>
      <c r="G4" s="4" t="s">
        <v>9</v>
      </c>
    </row>
    <row r="5" spans="2:7" x14ac:dyDescent="0.3">
      <c r="B5" s="7" t="s">
        <v>20</v>
      </c>
      <c r="C5" s="8">
        <v>1</v>
      </c>
      <c r="D5" s="11">
        <v>0.24972253052164262</v>
      </c>
      <c r="E5" s="18">
        <v>0.06</v>
      </c>
      <c r="F5" s="10">
        <f>D5+(D5*E5)</f>
        <v>0.2647058823529412</v>
      </c>
      <c r="G5" s="16">
        <f>C5*D5</f>
        <v>0.24972253052164262</v>
      </c>
    </row>
    <row r="6" spans="2:7" x14ac:dyDescent="0.3">
      <c r="B6" s="7" t="s">
        <v>32</v>
      </c>
      <c r="C6" s="8">
        <v>0.09</v>
      </c>
      <c r="D6" s="11">
        <v>4.1494</v>
      </c>
      <c r="E6" s="18">
        <v>0.13</v>
      </c>
      <c r="F6" s="10">
        <f t="shared" ref="F6:F12" si="0">D6+(D6*E6)</f>
        <v>4.688822</v>
      </c>
      <c r="G6" s="16">
        <f t="shared" ref="G6:G12" si="1">C6*D6</f>
        <v>0.373446</v>
      </c>
    </row>
    <row r="7" spans="2:7" x14ac:dyDescent="0.3">
      <c r="B7" s="7" t="s">
        <v>25</v>
      </c>
      <c r="C7" s="8">
        <v>2</v>
      </c>
      <c r="D7" s="11">
        <v>0.2</v>
      </c>
      <c r="E7" s="18">
        <v>0.06</v>
      </c>
      <c r="F7" s="10">
        <f t="shared" si="0"/>
        <v>0.21200000000000002</v>
      </c>
      <c r="G7" s="16">
        <f t="shared" si="1"/>
        <v>0.4</v>
      </c>
    </row>
    <row r="8" spans="2:7" x14ac:dyDescent="0.3">
      <c r="B8" s="7" t="s">
        <v>22</v>
      </c>
      <c r="C8" s="8">
        <v>1.4999999999999999E-2</v>
      </c>
      <c r="D8" s="11">
        <v>12.8</v>
      </c>
      <c r="E8" s="18">
        <v>0.06</v>
      </c>
      <c r="F8" s="10">
        <f t="shared" si="0"/>
        <v>13.568000000000001</v>
      </c>
      <c r="G8" s="16">
        <f t="shared" si="1"/>
        <v>0.192</v>
      </c>
    </row>
    <row r="9" spans="2:7" x14ac:dyDescent="0.3">
      <c r="B9" s="7" t="s">
        <v>30</v>
      </c>
      <c r="C9" s="8">
        <v>1.4999999999999999E-2</v>
      </c>
      <c r="D9" s="11">
        <v>2.98</v>
      </c>
      <c r="E9" s="18">
        <v>0.06</v>
      </c>
      <c r="F9" s="10">
        <f t="shared" si="0"/>
        <v>3.1588</v>
      </c>
      <c r="G9" s="16">
        <f t="shared" si="1"/>
        <v>0.0447</v>
      </c>
    </row>
    <row r="10" spans="2:7" x14ac:dyDescent="0.3">
      <c r="B10" s="7" t="s">
        <v>38</v>
      </c>
      <c r="C10" s="8">
        <v>0.01</v>
      </c>
      <c r="D10" s="11">
        <v>1.4</v>
      </c>
      <c r="E10" s="18">
        <v>0.06</v>
      </c>
      <c r="F10" s="10">
        <f t="shared" si="0"/>
        <v>1.484</v>
      </c>
      <c r="G10" s="16">
        <f t="shared" si="1"/>
        <v>0.013999999999999999</v>
      </c>
    </row>
    <row r="11" spans="2:7" x14ac:dyDescent="0.3">
      <c r="B11" s="7" t="s">
        <v>37</v>
      </c>
      <c r="C11" s="8">
        <v>5.0000000000000001E-3</v>
      </c>
      <c r="D11" s="11">
        <v>13.87</v>
      </c>
      <c r="E11" s="18">
        <v>0.06</v>
      </c>
      <c r="F11" s="10">
        <f t="shared" si="0"/>
        <v>14.7022</v>
      </c>
      <c r="G11" s="16">
        <f t="shared" si="1"/>
        <v>0.06935</v>
      </c>
    </row>
    <row r="12" spans="2:7" ht="15" thickBot="1" x14ac:dyDescent="0.35">
      <c r="B12" s="7" t="s">
        <v>31</v>
      </c>
      <c r="C12" s="8">
        <v>2.5000000000000001E-2</v>
      </c>
      <c r="D12" s="11">
        <v>2.3899699999999995</v>
      </c>
      <c r="E12" s="18">
        <v>0.13</v>
      </c>
      <c r="F12" s="10">
        <f t="shared" si="0"/>
        <v>2.7006660999999994</v>
      </c>
      <c r="G12" s="16">
        <f t="shared" si="1"/>
        <v>0.05974924999999999</v>
      </c>
    </row>
    <row r="13" spans="2:7" ht="15" thickTop="1" x14ac:dyDescent="0.3">
      <c r="B13" s="26" t="s">
        <v>11</v>
      </c>
      <c r="C13" s="27"/>
      <c r="D13" s="27"/>
      <c r="E13" s="27"/>
      <c r="F13" s="27"/>
      <c r="G13" s="12">
        <f>SUM(G5:G12)</f>
        <v>1.4029677805216427</v>
      </c>
    </row>
    <row r="14" spans="2:7" x14ac:dyDescent="0.3">
      <c r="B14" s="28" t="s">
        <v>2</v>
      </c>
      <c r="C14" s="29"/>
      <c r="D14" s="29"/>
      <c r="E14" s="29"/>
      <c r="F14" s="29"/>
      <c r="G14" s="15">
        <v>10</v>
      </c>
    </row>
    <row r="15" spans="2:7" x14ac:dyDescent="0.3">
      <c r="B15" s="30" t="s">
        <v>12</v>
      </c>
      <c r="C15" s="31"/>
      <c r="D15" s="31"/>
      <c r="E15" s="31"/>
      <c r="F15" s="31"/>
      <c r="G15" s="15">
        <f>G14/1.13</f>
        <v>8.8495575221238951</v>
      </c>
    </row>
    <row r="16" spans="2:7" ht="15" thickBot="1" x14ac:dyDescent="0.35">
      <c r="B16" s="19" t="s">
        <v>3</v>
      </c>
      <c r="C16" s="20"/>
      <c r="D16" s="20"/>
      <c r="E16" s="20"/>
      <c r="F16" s="20"/>
      <c r="G16" s="9">
        <f>G13/G15</f>
        <v>0.1585353591989456</v>
      </c>
    </row>
    <row r="17" spans="2:7" ht="15" thickTop="1" x14ac:dyDescent="0.3">
      <c r="B17" s="1"/>
      <c r="C17" s="1"/>
      <c r="D17" s="1"/>
      <c r="E17" s="1"/>
      <c r="F17" s="1"/>
      <c r="G17" s="1"/>
    </row>
    <row r="18" spans="2:7" x14ac:dyDescent="0.3">
      <c r="B18" s="21" t="s">
        <v>4</v>
      </c>
      <c r="C18" s="21"/>
      <c r="D18" s="21"/>
      <c r="E18" s="21"/>
      <c r="F18" s="21"/>
      <c r="G18" s="21"/>
    </row>
    <row r="19" spans="2:7" x14ac:dyDescent="0.3">
      <c r="B19" s="22" t="s">
        <v>5</v>
      </c>
      <c r="C19" s="22"/>
      <c r="D19" s="22"/>
      <c r="E19" s="22"/>
      <c r="F19" s="22"/>
      <c r="G19" s="22"/>
    </row>
  </sheetData>
  <mergeCells count="7">
    <mergeCell ref="B16:F16"/>
    <mergeCell ref="B18:G18"/>
    <mergeCell ref="B19:G19"/>
    <mergeCell ref="B2:G2"/>
    <mergeCell ref="B13:F13"/>
    <mergeCell ref="B14:F14"/>
    <mergeCell ref="B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Torrada</vt:lpstr>
      <vt:lpstr>Mista</vt:lpstr>
      <vt:lpstr>Atum</vt:lpstr>
      <vt:lpstr>Frango</vt:lpstr>
      <vt:lpstr>Vegetariana</vt:lpstr>
      <vt:lpstr>Salmão</vt:lpstr>
      <vt:lpstr>Guacamole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Ribas</dc:creator>
  <cp:lastModifiedBy>Nuno Ribas</cp:lastModifiedBy>
  <dcterms:created xsi:type="dcterms:W3CDTF">2026-06-15T20:29:57Z</dcterms:created>
  <dcterms:modified xsi:type="dcterms:W3CDTF">2026-07-23T14:37:32Z</dcterms:modified>
</cp:coreProperties>
</file>