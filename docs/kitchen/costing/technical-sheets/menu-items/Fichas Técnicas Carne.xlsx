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5a07027276a17f/Documentos/Ribbaí/Fichas Técnicas/"/>
    </mc:Choice>
  </mc:AlternateContent>
  <xr:revisionPtr revIDLastSave="556" documentId="13_ncr:1_{439D8890-1C98-466A-A3BF-90908F965FBA}" xr6:coauthVersionLast="47" xr6:coauthVersionMax="47" xr10:uidLastSave="{5AEDE846-50D3-4697-A916-BEBA63E42CF8}"/>
  <bookViews>
    <workbookView xWindow="-108" yWindow="-108" windowWidth="23256" windowHeight="12456" xr2:uid="{A30C5A00-9C99-40B0-98F4-825038F337D6}"/>
  </bookViews>
  <sheets>
    <sheet name="Bife à Ribbaí" sheetId="1" r:id="rId1"/>
    <sheet name="Picanha" sheetId="2" r:id="rId2"/>
    <sheet name="Lombo" sheetId="3" r:id="rId3"/>
    <sheet name="Perna Frango" sheetId="4" r:id="rId4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<sst xmlns="http://schemas.openxmlformats.org/spreadsheetml/2006/main" count="76" uniqueCount="33">
  <si>
    <t>Ingredientes</t>
  </si>
  <si>
    <t>Quantidades</t>
  </si>
  <si>
    <t>Preço Venda c/Iva</t>
  </si>
  <si>
    <t>% food cost</t>
  </si>
  <si>
    <t xml:space="preserve">Preparação: </t>
  </si>
  <si>
    <r>
      <t>Serviço:</t>
    </r>
    <r>
      <rPr>
        <sz val="11"/>
        <color theme="1"/>
        <rFont val="Arial"/>
        <family val="2"/>
      </rPr>
      <t xml:space="preserve"> </t>
    </r>
  </si>
  <si>
    <t>BIFE À RIBBAÍ</t>
  </si>
  <si>
    <t>LOMBO DE NOVILHO GRELHADO 200G</t>
  </si>
  <si>
    <t>PERNA FRANGO DESOSSADA</t>
  </si>
  <si>
    <t>Azeite</t>
  </si>
  <si>
    <t>Ovo</t>
  </si>
  <si>
    <t>Custo Mercadoria s/Iva</t>
  </si>
  <si>
    <t>Picanha</t>
  </si>
  <si>
    <t>Preço Venda s/Iva</t>
  </si>
  <si>
    <t>PICANHA GRELHADA</t>
  </si>
  <si>
    <t>Molho DG</t>
  </si>
  <si>
    <t>Sal grosso</t>
  </si>
  <si>
    <t>Ingrediente</t>
  </si>
  <si>
    <t>Custo</t>
  </si>
  <si>
    <t>Limão</t>
  </si>
  <si>
    <t>Pimenta preta</t>
  </si>
  <si>
    <t>Perna frango desoss</t>
  </si>
  <si>
    <t>Lombo novilho</t>
  </si>
  <si>
    <t>Bife novilho</t>
  </si>
  <si>
    <t>Batatas (dose)</t>
  </si>
  <si>
    <t>Arroz (dose)</t>
  </si>
  <si>
    <t>Feijão (dose)</t>
  </si>
  <si>
    <t>Salada (dose)</t>
  </si>
  <si>
    <t>Manteiga a&amp;e (dose)</t>
  </si>
  <si>
    <t>Preço s/ IVA</t>
  </si>
  <si>
    <t>IVA</t>
  </si>
  <si>
    <t>Preço c/ IVA</t>
  </si>
  <si>
    <t>Manteiga a&amp;e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</si>
</sst>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.00\ &quot;€&quot;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1">
    <xf numFmtId="0" fontId="0" fillId="0" borderId="0" xfId="0"/>
    <xf numFmtId="0" fontId="4" fillId="0" borderId="0" xfId="0" applyFont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7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2" borderId="10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right" vertical="center"/>
    </xf>
    <xf numFmtId="0" fontId="4" fillId="0" borderId="8" xfId="0" applyFont="1" applyBorder="1" applyAlignment="1">
      <alignment horizontal="righ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center" vertical="center"/>
    </xf>
    <xf numFmtId="9" fontId="5" fillId="2" borderId="21" xfId="1" applyFont="1" applyFill="1" applyBorder="1" applyAlignment="1">
      <alignment vertical="center"/>
    </xf>
    <xf numFmtId="0" fontId="4" fillId="0" borderId="13" xfId="0" applyFont="1" applyBorder="1" applyAlignment="1">
      <alignment horizontal="left"/>
    </xf>
    <xf numFmtId="164" fontId="5" fillId="0" borderId="19" xfId="2" applyNumberFormat="1" applyFont="1" applyBorder="1" applyAlignment="1">
      <alignment vertical="center"/>
    </xf>
    <xf numFmtId="164" fontId="4" fillId="3" borderId="22" xfId="0" applyNumberFormat="1" applyFont="1" applyFill="1" applyBorder="1" applyAlignment="1">
      <alignment horizontal="right" vertical="center"/>
    </xf>
    <xf numFmtId="164" fontId="5" fillId="3" borderId="9" xfId="0" applyNumberFormat="1" applyFont="1" applyFill="1" applyBorder="1" applyAlignment="1">
      <alignment horizontal="right" vertical="center"/>
    </xf>
    <xf numFmtId="164" fontId="4" fillId="3" borderId="8" xfId="0" applyNumberFormat="1" applyFont="1" applyFill="1" applyBorder="1" applyAlignment="1">
      <alignment horizontal="right" vertical="center"/>
    </xf>
    <xf numFmtId="164" fontId="4" fillId="0" borderId="8" xfId="0" applyNumberFormat="1" applyFont="1" applyBorder="1" applyAlignment="1">
      <alignment horizontal="right" vertical="center"/>
    </xf>
    <xf numFmtId="164" fontId="5" fillId="2" borderId="10" xfId="0" applyNumberFormat="1" applyFont="1" applyFill="1" applyBorder="1" applyAlignment="1">
      <alignment horizontal="center" vertical="center"/>
    </xf>
    <xf numFmtId="164" fontId="5" fillId="2" borderId="6" xfId="0" applyNumberFormat="1" applyFont="1" applyFill="1" applyBorder="1" applyAlignment="1">
      <alignment horizontal="center" vertical="center"/>
    </xf>
    <xf numFmtId="164" fontId="5" fillId="0" borderId="19" xfId="2" applyNumberFormat="1" applyFont="1" applyBorder="1" applyAlignment="1">
      <alignment horizontal="right" vertical="center"/>
    </xf>
    <xf numFmtId="164" fontId="4" fillId="0" borderId="14" xfId="0" applyNumberFormat="1" applyFont="1" applyBorder="1" applyAlignment="1">
      <alignment horizontal="right" vertical="center"/>
    </xf>
    <xf numFmtId="164" fontId="5" fillId="0" borderId="20" xfId="2" applyNumberFormat="1" applyFont="1" applyBorder="1" applyAlignment="1">
      <alignment horizontal="right" vertical="center"/>
    </xf>
    <xf numFmtId="9" fontId="4" fillId="3" borderId="22" xfId="1" applyFont="1" applyFill="1" applyBorder="1" applyAlignment="1">
      <alignment horizontal="center" vertical="center"/>
    </xf>
    <xf numFmtId="9" fontId="4" fillId="0" borderId="22" xfId="1" applyFont="1" applyBorder="1" applyAlignment="1">
      <alignment horizontal="center" vertical="center"/>
    </xf>
    <xf numFmtId="9" fontId="4" fillId="0" borderId="23" xfId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</cellXfs>
  <cellStyles count="3">
    <cellStyle name="Moeda 2" xfId="2" xr:uid="{BF5ED00E-2119-4A8B-8E05-A6471A8E44DA}"/>
    <cellStyle name="Normal" xfId="0" builtinId="0"/>
    <cellStyle name="Pe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93EB9-0D20-4189-A24A-E2BF1BA21472}">
  <dimension ref="B1:J22"/>
  <sheetViews>
    <sheetView tabSelected="1" workbookViewId="0">
      <selection activeCell="D5" sqref="D5:D12"/>
    </sheetView>
  </sheetViews>
  <sheetFormatPr defaultRowHeight="13.8" x14ac:dyDescent="0.25"/>
  <cols>
    <col min="1" max="1" width="8.88671875" style="11"/>
    <col min="2" max="2" width="20.77734375" style="11" customWidth="1"/>
    <col min="3" max="4" width="12.77734375" style="11" customWidth="1"/>
    <col min="5" max="5" width="6.77734375" style="11" customWidth="1"/>
    <col min="6" max="7" width="12.77734375" style="11" customWidth="1"/>
    <col min="8" max="16384" width="8.88671875" style="11"/>
  </cols>
  <sheetData>
    <row r="1" spans="2:10" ht="14.4" thickBot="1" x14ac:dyDescent="0.3"/>
    <row r="2" spans="2:10" ht="18" thickBot="1" x14ac:dyDescent="0.3">
      <c r="B2" s="38" t="s">
        <v>6</v>
      </c>
      <c r="C2" s="39"/>
      <c r="D2" s="39"/>
      <c r="E2" s="39"/>
      <c r="F2" s="39"/>
      <c r="G2" s="40"/>
      <c r="H2" s="1"/>
      <c r="I2" s="1"/>
      <c r="J2" s="1"/>
    </row>
    <row r="3" spans="2:10" ht="14.4" thickBot="1" x14ac:dyDescent="0.3">
      <c r="B3" s="1"/>
      <c r="C3" s="1"/>
      <c r="D3" s="1"/>
      <c r="E3" s="1"/>
      <c r="F3" s="1"/>
      <c r="G3" s="1"/>
      <c r="H3" s="1"/>
      <c r="I3" s="1"/>
      <c r="J3" s="1"/>
    </row>
    <row r="4" spans="2:10" ht="14.4" thickTop="1" x14ac:dyDescent="0.25">
      <c r="B4" s="2" t="s">
        <v>17</v>
      </c>
      <c r="C4" s="3" t="s">
        <v>1</v>
      </c>
      <c r="D4" s="16" t="s">
        <v>29</v>
      </c>
      <c r="E4" s="16" t="s">
        <v>30</v>
      </c>
      <c r="F4" s="16" t="s">
        <v>31</v>
      </c>
      <c r="G4" s="4" t="s">
        <v>18</v>
      </c>
      <c r="H4" s="1"/>
      <c r="I4" s="1"/>
      <c r="J4" s="1"/>
    </row>
    <row r="5" spans="2:10" x14ac:dyDescent="0.25">
      <c r="B5" s="5" t="s">
        <v>23</v>
      </c>
      <c r="C5" s="17">
        <v>0.13</v>
      </c>
      <c r="D5" s="26">
        <v>14.056603773584905</v>
      </c>
      <c r="E5" s="33">
        <v>0.06</v>
      </c>
      <c r="F5" s="24">
        <f>D5+(D5*E5)</f>
        <v>14.9</v>
      </c>
      <c r="G5" s="25">
        <f>D5*C5</f>
        <v>1.8273584905660378</v>
      </c>
      <c r="H5" s="1"/>
      <c r="I5" s="1"/>
      <c r="J5" s="1"/>
    </row>
    <row r="6" spans="2:10" x14ac:dyDescent="0.25">
      <c r="B6" s="5" t="s">
        <v>9</v>
      </c>
      <c r="C6" s="17">
        <v>3.5000000000000003E-2</v>
      </c>
      <c r="D6" s="26">
        <v>2.98</v>
      </c>
      <c r="E6" s="33">
        <v>0.06</v>
      </c>
      <c r="F6" s="24">
        <f t="shared" ref="F6:F12" si="0">D6+(D6*E6)</f>
        <v>3.1588</v>
      </c>
      <c r="G6" s="25">
        <f t="shared" ref="G6:G12" si="1">D6*C6</f>
        <v>0.1043</v>
      </c>
      <c r="H6" s="1"/>
      <c r="I6" s="1"/>
      <c r="J6" s="1"/>
    </row>
    <row r="7" spans="2:10" x14ac:dyDescent="0.25">
      <c r="B7" s="5" t="s">
        <v>24</v>
      </c>
      <c r="C7" s="17">
        <v>1</v>
      </c>
      <c r="D7" s="26">
        <v>0.5528</v>
      </c>
      <c r="E7" s="33">
        <v>0.13</v>
      </c>
      <c r="F7" s="24">
        <f t="shared" si="0"/>
        <v>0.624664</v>
      </c>
      <c r="G7" s="25">
        <f t="shared" si="1"/>
        <v>0.5528</v>
      </c>
      <c r="H7" s="1"/>
      <c r="I7" s="1"/>
      <c r="J7" s="1"/>
    </row>
    <row r="8" spans="2:10" x14ac:dyDescent="0.25">
      <c r="B8" s="7" t="s">
        <v>10</v>
      </c>
      <c r="C8" s="17">
        <v>1</v>
      </c>
      <c r="D8" s="26">
        <v>0.2</v>
      </c>
      <c r="E8" s="33">
        <v>0.06</v>
      </c>
      <c r="F8" s="24">
        <f t="shared" si="0"/>
        <v>0.21200000000000002</v>
      </c>
      <c r="G8" s="25">
        <f t="shared" si="1"/>
        <v>0.2</v>
      </c>
      <c r="H8" s="1"/>
      <c r="I8" s="1"/>
      <c r="J8" s="1"/>
    </row>
    <row r="9" spans="2:10" x14ac:dyDescent="0.25">
      <c r="B9" s="9" t="s">
        <v>25</v>
      </c>
      <c r="C9" s="18">
        <v>1</v>
      </c>
      <c r="D9" s="27">
        <v>0.08515932000000001</v>
      </c>
      <c r="E9" s="34">
        <v>0.13</v>
      </c>
      <c r="F9" s="24">
        <f t="shared" si="0"/>
        <v>0.09623003160000002</v>
      </c>
      <c r="G9" s="25">
        <f t="shared" si="1"/>
        <v>0.08515932000000001</v>
      </c>
      <c r="H9" s="1"/>
      <c r="I9" s="1"/>
      <c r="J9" s="1"/>
    </row>
    <row r="10" spans="2:10" x14ac:dyDescent="0.25">
      <c r="B10" s="9" t="s">
        <v>16</v>
      </c>
      <c r="C10" s="18">
        <v>0.01</v>
      </c>
      <c r="D10" s="27">
        <v>0.315</v>
      </c>
      <c r="E10" s="34">
        <v>0.06</v>
      </c>
      <c r="F10" s="24">
        <f t="shared" si="0"/>
        <v>0.3339</v>
      </c>
      <c r="G10" s="25">
        <f t="shared" si="1"/>
        <v>0.00315</v>
      </c>
      <c r="H10" s="1"/>
      <c r="I10" s="1"/>
      <c r="J10" s="1"/>
    </row>
    <row r="11" spans="2:10" x14ac:dyDescent="0.25">
      <c r="B11" s="9" t="s">
        <v>20</v>
      </c>
      <c r="C11" s="18">
        <v>5.0000000000000001E-3</v>
      </c>
      <c r="D11" s="27">
        <v>13.87</v>
      </c>
      <c r="E11" s="34">
        <v>0.06</v>
      </c>
      <c r="F11" s="24">
        <f t="shared" si="0"/>
        <v>14.7022</v>
      </c>
      <c r="G11" s="25">
        <f t="shared" si="1"/>
        <v>0.06935</v>
      </c>
      <c r="H11" s="1"/>
      <c r="I11" s="1"/>
      <c r="J11" s="1"/>
    </row>
    <row r="12" spans="2:10" ht="14.4" thickBot="1" x14ac:dyDescent="0.3">
      <c r="B12" s="9" t="s">
        <v>15</v>
      </c>
      <c r="C12" s="18">
        <v>0.06</v>
      </c>
      <c r="D12" s="27">
        <v>1.21356</v>
      </c>
      <c r="E12" s="34">
        <v>0.13</v>
      </c>
      <c r="F12" s="24">
        <f t="shared" si="0"/>
        <v>1.3713228</v>
      </c>
      <c r="G12" s="25">
        <f t="shared" si="1"/>
        <v>0.07281359999999999</v>
      </c>
      <c r="H12" s="1"/>
      <c r="I12" s="1"/>
      <c r="J12" s="1"/>
    </row>
    <row r="13" spans="2:10" ht="14.4" thickTop="1" x14ac:dyDescent="0.25">
      <c r="B13" s="41" t="s">
        <v>11</v>
      </c>
      <c r="C13" s="42"/>
      <c r="D13" s="42"/>
      <c r="E13" s="42"/>
      <c r="F13" s="42"/>
      <c r="G13" s="23">
        <f>SUM(G5:G12)</f>
        <v>2.9149314105660378</v>
      </c>
      <c r="H13" s="1"/>
      <c r="I13" s="1"/>
      <c r="J13" s="1"/>
    </row>
    <row r="14" spans="2:10" x14ac:dyDescent="0.25">
      <c r="B14" s="43" t="s">
        <v>2</v>
      </c>
      <c r="C14" s="44"/>
      <c r="D14" s="44"/>
      <c r="E14" s="44"/>
      <c r="F14" s="44"/>
      <c r="G14" s="32">
        <v>16</v>
      </c>
      <c r="H14" s="1"/>
      <c r="I14" s="1"/>
      <c r="J14" s="1"/>
    </row>
    <row r="15" spans="2:10" x14ac:dyDescent="0.25">
      <c r="B15" s="45" t="s">
        <v>13</v>
      </c>
      <c r="C15" s="46"/>
      <c r="D15" s="46"/>
      <c r="E15" s="46"/>
      <c r="F15" s="46"/>
      <c r="G15" s="32">
        <f>G14/1.13</f>
        <v>14.159292035398231</v>
      </c>
      <c r="H15" s="1"/>
      <c r="I15" s="1"/>
      <c r="J15" s="1"/>
    </row>
    <row r="16" spans="2:10" ht="14.4" thickBot="1" x14ac:dyDescent="0.3">
      <c r="B16" s="36" t="s">
        <v>3</v>
      </c>
      <c r="C16" s="37"/>
      <c r="D16" s="37"/>
      <c r="E16" s="37"/>
      <c r="F16" s="37"/>
      <c r="G16" s="21">
        <f>G13/G15</f>
        <v>0.2058670308712264</v>
      </c>
      <c r="H16" s="1"/>
      <c r="I16" s="1"/>
      <c r="J16" s="1"/>
    </row>
    <row r="17" spans="2:10" ht="14.4" thickTop="1" x14ac:dyDescent="0.25">
      <c r="B17" s="1"/>
      <c r="C17" s="1"/>
      <c r="D17" s="1"/>
      <c r="E17" s="1"/>
      <c r="F17" s="1"/>
      <c r="G17" s="1"/>
      <c r="H17" s="1"/>
      <c r="I17" s="1"/>
      <c r="J17" s="1"/>
    </row>
    <row r="18" spans="2:10" ht="15" customHeight="1" x14ac:dyDescent="0.25">
      <c r="B18" s="13" t="s">
        <v>4</v>
      </c>
      <c r="C18" s="13"/>
      <c r="D18" s="13"/>
      <c r="E18" s="13"/>
      <c r="F18" s="13"/>
      <c r="G18" s="13"/>
      <c r="H18" s="1"/>
      <c r="I18" s="1"/>
      <c r="J18" s="1"/>
    </row>
    <row r="19" spans="2:10" ht="15.6" customHeight="1" x14ac:dyDescent="0.25">
      <c r="B19" s="15" t="s">
        <v>5</v>
      </c>
      <c r="C19" s="15"/>
      <c r="D19" s="15"/>
      <c r="E19" s="15"/>
      <c r="F19" s="15"/>
      <c r="G19" s="15"/>
      <c r="H19" s="10"/>
      <c r="I19" s="1"/>
      <c r="J19" s="1"/>
    </row>
    <row r="20" spans="2:10" x14ac:dyDescent="0.25">
      <c r="H20" s="1"/>
      <c r="I20" s="1"/>
      <c r="J20" s="1"/>
    </row>
    <row r="21" spans="2:10" x14ac:dyDescent="0.25">
      <c r="H21" s="13"/>
      <c r="I21" s="13"/>
      <c r="J21" s="13"/>
    </row>
    <row r="22" spans="2:10" x14ac:dyDescent="0.25">
      <c r="H22" s="15"/>
      <c r="I22" s="15"/>
      <c r="J22" s="15"/>
    </row>
  </sheetData>
  <mergeCells count="5">
    <mergeCell ref="B16:F16"/>
    <mergeCell ref="B2:G2"/>
    <mergeCell ref="B13:F13"/>
    <mergeCell ref="B14:F14"/>
    <mergeCell ref="B15:F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73703-CE0F-407F-A8F7-73F2970B4223}">
  <dimension ref="B1:J17"/>
  <sheetViews>
    <sheetView workbookViewId="0">
      <selection activeCell="D5" sqref="D5:D9"/>
    </sheetView>
  </sheetViews>
  <sheetFormatPr defaultRowHeight="14.4" x14ac:dyDescent="0.3"/>
  <cols>
    <col min="2" max="2" width="20.77734375" customWidth="1"/>
    <col min="3" max="4" width="12.77734375" customWidth="1"/>
    <col min="5" max="5" width="6.77734375" customWidth="1"/>
    <col min="6" max="7" width="12.77734375" customWidth="1"/>
  </cols>
  <sheetData>
    <row r="1" spans="2:10" ht="15" thickBot="1" x14ac:dyDescent="0.35"/>
    <row r="2" spans="2:10" ht="18" thickBot="1" x14ac:dyDescent="0.35">
      <c r="B2" s="38" t="s">
        <v>14</v>
      </c>
      <c r="C2" s="39"/>
      <c r="D2" s="47"/>
      <c r="E2" s="47"/>
      <c r="F2" s="47"/>
      <c r="G2" s="48"/>
      <c r="H2" s="1"/>
    </row>
    <row r="3" spans="2:10" ht="15" thickBot="1" x14ac:dyDescent="0.35">
      <c r="B3" s="1"/>
      <c r="C3" s="1"/>
      <c r="D3" s="1"/>
      <c r="E3" s="1"/>
      <c r="F3" s="1"/>
      <c r="G3" s="1"/>
      <c r="H3" s="1"/>
    </row>
    <row r="4" spans="2:10" ht="15" thickTop="1" x14ac:dyDescent="0.3">
      <c r="B4" s="2" t="s">
        <v>0</v>
      </c>
      <c r="C4" s="3" t="s">
        <v>1</v>
      </c>
      <c r="D4" s="28" t="s">
        <v>29</v>
      </c>
      <c r="E4" s="28" t="s">
        <v>30</v>
      </c>
      <c r="F4" s="28" t="s">
        <v>31</v>
      </c>
      <c r="G4" s="29" t="s">
        <v>18</v>
      </c>
      <c r="H4" s="1"/>
    </row>
    <row r="5" spans="2:10" x14ac:dyDescent="0.3">
      <c r="B5" s="5" t="s">
        <v>12</v>
      </c>
      <c r="C5" s="6">
        <v>0.155</v>
      </c>
      <c r="D5" s="26">
        <v>28.292452830188676</v>
      </c>
      <c r="E5" s="33">
        <v>0.06</v>
      </c>
      <c r="F5" s="24">
        <f>D5+(D5*E5)</f>
        <v>29.989999999999995</v>
      </c>
      <c r="G5" s="25">
        <f>D5*C5</f>
        <v>4.385330188679244</v>
      </c>
      <c r="H5" s="1"/>
    </row>
    <row r="6" spans="2:10" x14ac:dyDescent="0.3">
      <c r="B6" s="5" t="s">
        <v>25</v>
      </c>
      <c r="C6" s="6">
        <v>1</v>
      </c>
      <c r="D6" s="26">
        <v>0.08515932000000001</v>
      </c>
      <c r="E6" s="33">
        <v>0.13</v>
      </c>
      <c r="F6" s="24">
        <f t="shared" ref="F6:F9" si="0">D6+(D6*E6)</f>
        <v>0.09623003160000002</v>
      </c>
      <c r="G6" s="25">
        <f t="shared" ref="G6:G9" si="1">D6*C6</f>
        <v>0.08515932000000001</v>
      </c>
      <c r="H6" s="1"/>
    </row>
    <row r="7" spans="2:10" x14ac:dyDescent="0.3">
      <c r="B7" s="5" t="s">
        <v>24</v>
      </c>
      <c r="C7" s="6">
        <v>1</v>
      </c>
      <c r="D7" s="26">
        <v>0.5528</v>
      </c>
      <c r="E7" s="33">
        <v>0.13</v>
      </c>
      <c r="F7" s="24">
        <f t="shared" si="0"/>
        <v>0.624664</v>
      </c>
      <c r="G7" s="25">
        <f t="shared" si="1"/>
        <v>0.5528</v>
      </c>
      <c r="H7" s="1"/>
    </row>
    <row r="8" spans="2:10" x14ac:dyDescent="0.3">
      <c r="B8" s="7" t="s">
        <v>26</v>
      </c>
      <c r="C8" s="8">
        <v>1</v>
      </c>
      <c r="D8" s="27">
        <v>0.6649213516981133</v>
      </c>
      <c r="E8" s="34">
        <v>0.13</v>
      </c>
      <c r="F8" s="24">
        <f t="shared" si="0"/>
        <v>0.7513611274188681</v>
      </c>
      <c r="G8" s="25">
        <f t="shared" si="1"/>
        <v>0.6649213516981133</v>
      </c>
      <c r="H8" s="1"/>
    </row>
    <row r="9" spans="2:10" ht="15" thickBot="1" x14ac:dyDescent="0.35">
      <c r="B9" s="9" t="s">
        <v>16</v>
      </c>
      <c r="C9" s="8">
        <v>0.03</v>
      </c>
      <c r="D9" s="27">
        <v>0.315</v>
      </c>
      <c r="E9" s="34">
        <v>0.06</v>
      </c>
      <c r="F9" s="24">
        <f t="shared" si="0"/>
        <v>0.3339</v>
      </c>
      <c r="G9" s="25">
        <f t="shared" si="1"/>
        <v>0.00945</v>
      </c>
      <c r="H9" s="1"/>
    </row>
    <row r="10" spans="2:10" ht="15" thickTop="1" x14ac:dyDescent="0.3">
      <c r="B10" s="41" t="s">
        <v>11</v>
      </c>
      <c r="C10" s="42"/>
      <c r="D10" s="42"/>
      <c r="E10" s="42"/>
      <c r="F10" s="42"/>
      <c r="G10" s="30">
        <f>SUM(G5:G9)</f>
        <v>5.697660860377358</v>
      </c>
      <c r="H10" s="1"/>
    </row>
    <row r="11" spans="2:10" x14ac:dyDescent="0.3">
      <c r="B11" s="43" t="s">
        <v>2</v>
      </c>
      <c r="C11" s="44"/>
      <c r="D11" s="44"/>
      <c r="E11" s="44"/>
      <c r="F11" s="44"/>
      <c r="G11" s="32">
        <v>21</v>
      </c>
      <c r="H11" s="1"/>
    </row>
    <row r="12" spans="2:10" x14ac:dyDescent="0.3">
      <c r="B12" s="45" t="s">
        <v>13</v>
      </c>
      <c r="C12" s="46"/>
      <c r="D12" s="46"/>
      <c r="E12" s="46"/>
      <c r="F12" s="46"/>
      <c r="G12" s="32">
        <f>G11/1.13</f>
        <v>18.584070796460178</v>
      </c>
      <c r="H12" s="1"/>
    </row>
    <row r="13" spans="2:10" ht="15" thickBot="1" x14ac:dyDescent="0.35">
      <c r="B13" s="36" t="s">
        <v>3</v>
      </c>
      <c r="C13" s="37"/>
      <c r="D13" s="37"/>
      <c r="E13" s="37"/>
      <c r="F13" s="37"/>
      <c r="G13" s="21">
        <f>G10/G12</f>
        <v>0.30658841772506734</v>
      </c>
      <c r="H13" s="10"/>
    </row>
    <row r="14" spans="2:10" ht="15" thickTop="1" x14ac:dyDescent="0.3">
      <c r="B14" s="1"/>
      <c r="C14" s="1"/>
      <c r="D14" s="1"/>
      <c r="E14" s="1"/>
      <c r="F14" s="1"/>
      <c r="G14" s="1"/>
      <c r="H14" s="1"/>
    </row>
    <row r="15" spans="2:10" x14ac:dyDescent="0.3">
      <c r="B15" s="12" t="s">
        <v>4</v>
      </c>
      <c r="C15" s="12"/>
      <c r="D15" s="13"/>
      <c r="E15" s="13"/>
      <c r="F15" s="13"/>
      <c r="G15" s="13"/>
      <c r="H15" s="13"/>
      <c r="I15" s="13"/>
      <c r="J15" s="13"/>
    </row>
    <row r="16" spans="2:10" x14ac:dyDescent="0.3">
      <c r="B16" s="14" t="s">
        <v>5</v>
      </c>
      <c r="C16" s="14"/>
      <c r="D16" s="15"/>
      <c r="E16" s="15"/>
      <c r="F16" s="15"/>
      <c r="G16" s="15"/>
      <c r="H16" s="15"/>
      <c r="I16" s="15"/>
      <c r="J16" s="15"/>
    </row>
    <row r="17" spans="7:7" x14ac:dyDescent="0.3">
      <c r="G17" s="11"/>
    </row>
  </sheetData>
  <mergeCells count="5">
    <mergeCell ref="B13:F13"/>
    <mergeCell ref="B2:G2"/>
    <mergeCell ref="B10:F10"/>
    <mergeCell ref="B11:F11"/>
    <mergeCell ref="B12:F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E0472-D77A-4887-B2A0-DC96243B8D06}">
  <dimension ref="B1:I16"/>
  <sheetViews>
    <sheetView workbookViewId="0">
      <selection activeCell="D5" sqref="D5:D9"/>
    </sheetView>
  </sheetViews>
  <sheetFormatPr defaultRowHeight="13.8" x14ac:dyDescent="0.25"/>
  <cols>
    <col min="1" max="1" width="8.88671875" style="11"/>
    <col min="2" max="2" width="20.77734375" style="11" customWidth="1"/>
    <col min="3" max="4" width="12.77734375" style="11" customWidth="1"/>
    <col min="5" max="5" width="6.77734375" style="11" customWidth="1"/>
    <col min="6" max="7" width="12.77734375" style="11" customWidth="1"/>
    <col min="8" max="16384" width="8.88671875" style="11"/>
  </cols>
  <sheetData>
    <row r="1" spans="2:9" ht="14.4" thickBot="1" x14ac:dyDescent="0.3"/>
    <row r="2" spans="2:9" ht="18" thickBot="1" x14ac:dyDescent="0.3">
      <c r="B2" s="38" t="s">
        <v>7</v>
      </c>
      <c r="C2" s="39"/>
      <c r="D2" s="39"/>
      <c r="E2" s="39"/>
      <c r="F2" s="39"/>
      <c r="G2" s="40"/>
      <c r="H2" s="1"/>
      <c r="I2" s="1"/>
    </row>
    <row r="3" spans="2:9" ht="14.4" thickBot="1" x14ac:dyDescent="0.3">
      <c r="B3" s="1"/>
      <c r="C3" s="1"/>
      <c r="D3" s="1"/>
      <c r="E3" s="1"/>
      <c r="F3" s="1"/>
      <c r="G3" s="1"/>
      <c r="H3" s="1"/>
      <c r="I3" s="1"/>
    </row>
    <row r="4" spans="2:9" ht="14.4" thickTop="1" x14ac:dyDescent="0.25">
      <c r="B4" s="2" t="s">
        <v>0</v>
      </c>
      <c r="C4" s="3" t="s">
        <v>1</v>
      </c>
      <c r="D4" s="28" t="s">
        <v>29</v>
      </c>
      <c r="E4" s="28" t="s">
        <v>30</v>
      </c>
      <c r="F4" s="28" t="s">
        <v>31</v>
      </c>
      <c r="G4" s="29" t="s">
        <v>18</v>
      </c>
      <c r="H4" s="1"/>
      <c r="I4" s="1"/>
    </row>
    <row r="5" spans="2:9" x14ac:dyDescent="0.25">
      <c r="B5" s="5" t="s">
        <v>22</v>
      </c>
      <c r="C5" s="6">
        <v>0.2</v>
      </c>
      <c r="D5" s="26">
        <v>23.490566037735846</v>
      </c>
      <c r="E5" s="33">
        <v>0.06</v>
      </c>
      <c r="F5" s="24">
        <f>D5+(D5*E5)</f>
        <v>24.899999999999995</v>
      </c>
      <c r="G5" s="25">
        <f>D5*C5</f>
        <v>4.698113207547169</v>
      </c>
      <c r="H5" s="1"/>
      <c r="I5" s="1"/>
    </row>
    <row r="6" spans="2:9" x14ac:dyDescent="0.25">
      <c r="B6" s="5" t="s">
        <v>24</v>
      </c>
      <c r="C6" s="6">
        <v>1</v>
      </c>
      <c r="D6" s="26">
        <v>0.5528</v>
      </c>
      <c r="E6" s="33">
        <v>0.13</v>
      </c>
      <c r="F6" s="24">
        <f t="shared" ref="F6:F9" si="0">D6+(D6*E6)</f>
        <v>0.624664</v>
      </c>
      <c r="G6" s="25">
        <f t="shared" ref="G6:G9" si="1">D6*C6</f>
        <v>0.5528</v>
      </c>
      <c r="H6" s="1"/>
      <c r="I6" s="1"/>
    </row>
    <row r="7" spans="2:9" x14ac:dyDescent="0.25">
      <c r="B7" s="5" t="s">
        <v>25</v>
      </c>
      <c r="C7" s="6">
        <v>1</v>
      </c>
      <c r="D7" s="26">
        <v>0.08515932000000001</v>
      </c>
      <c r="E7" s="33">
        <v>0.13</v>
      </c>
      <c r="F7" s="24">
        <f t="shared" si="0"/>
        <v>0.09623003160000002</v>
      </c>
      <c r="G7" s="25">
        <f t="shared" si="1"/>
        <v>0.08515932000000001</v>
      </c>
      <c r="H7" s="1"/>
      <c r="I7" s="1"/>
    </row>
    <row r="8" spans="2:9" x14ac:dyDescent="0.25">
      <c r="B8" s="9" t="s">
        <v>16</v>
      </c>
      <c r="C8" s="8">
        <v>0.03</v>
      </c>
      <c r="D8" s="27">
        <v>0.315</v>
      </c>
      <c r="E8" s="34">
        <v>0.06</v>
      </c>
      <c r="F8" s="24">
        <f t="shared" si="0"/>
        <v>0.3339</v>
      </c>
      <c r="G8" s="25">
        <f t="shared" si="1"/>
        <v>0.00945</v>
      </c>
      <c r="H8" s="1"/>
      <c r="I8" s="1"/>
    </row>
    <row r="9" spans="2:9" ht="14.4" thickBot="1" x14ac:dyDescent="0.3">
      <c r="B9" s="7" t="s">
        <v>32</v>
      </c>
      <c r="C9" s="8">
        <v>0.02</v>
      </c>
      <c r="D9" s="27">
        <v>2.93574</v>
      </c>
      <c r="E9" s="34">
        <v>0.13</v>
      </c>
      <c r="F9" s="24">
        <f t="shared" si="0"/>
        <v>3.3173862</v>
      </c>
      <c r="G9" s="25">
        <f t="shared" si="1"/>
        <v>0.058714800000000004</v>
      </c>
      <c r="H9" s="1"/>
      <c r="I9" s="1"/>
    </row>
    <row r="10" spans="2:9" ht="14.4" thickTop="1" x14ac:dyDescent="0.25">
      <c r="B10" s="41" t="s">
        <v>11</v>
      </c>
      <c r="C10" s="42"/>
      <c r="D10" s="42"/>
      <c r="E10" s="42"/>
      <c r="F10" s="42"/>
      <c r="G10" s="30">
        <f>SUM(G5:G9)</f>
        <v>5.404237327547169</v>
      </c>
      <c r="H10" s="1"/>
      <c r="I10" s="1"/>
    </row>
    <row r="11" spans="2:9" ht="14.4" customHeight="1" x14ac:dyDescent="0.25">
      <c r="B11" s="43" t="s">
        <v>2</v>
      </c>
      <c r="C11" s="44"/>
      <c r="D11" s="44"/>
      <c r="E11" s="44"/>
      <c r="F11" s="44"/>
      <c r="G11" s="32">
        <v>24</v>
      </c>
      <c r="H11" s="1"/>
      <c r="I11" s="1"/>
    </row>
    <row r="12" spans="2:9" ht="14.4" customHeight="1" x14ac:dyDescent="0.25">
      <c r="B12" s="45" t="s">
        <v>13</v>
      </c>
      <c r="C12" s="46"/>
      <c r="D12" s="46"/>
      <c r="E12" s="46"/>
      <c r="F12" s="46"/>
      <c r="G12" s="32">
        <f>G11/1.13</f>
        <v>21.238938053097346</v>
      </c>
      <c r="H12" s="1"/>
      <c r="I12" s="1"/>
    </row>
    <row r="13" spans="2:9" ht="15" customHeight="1" thickBot="1" x14ac:dyDescent="0.3">
      <c r="B13" s="36" t="s">
        <v>3</v>
      </c>
      <c r="C13" s="37"/>
      <c r="D13" s="37"/>
      <c r="E13" s="37"/>
      <c r="F13" s="37"/>
      <c r="G13" s="21">
        <f>G10/G12</f>
        <v>0.25444950750534584</v>
      </c>
      <c r="H13" s="10"/>
      <c r="I13" s="1"/>
    </row>
    <row r="14" spans="2:9" ht="14.4" thickTop="1" x14ac:dyDescent="0.25">
      <c r="B14" s="1"/>
      <c r="C14" s="1"/>
      <c r="D14" s="1"/>
      <c r="E14" s="1"/>
      <c r="F14" s="1"/>
      <c r="G14" s="1"/>
      <c r="H14" s="1"/>
      <c r="I14" s="1"/>
    </row>
    <row r="15" spans="2:9" x14ac:dyDescent="0.25">
      <c r="B15" s="50" t="s">
        <v>4</v>
      </c>
      <c r="C15" s="50"/>
      <c r="D15" s="50"/>
      <c r="E15" s="50"/>
      <c r="F15" s="50"/>
      <c r="G15" s="50"/>
      <c r="H15" s="50"/>
      <c r="I15" s="50"/>
    </row>
    <row r="16" spans="2:9" x14ac:dyDescent="0.25">
      <c r="B16" s="49" t="s">
        <v>5</v>
      </c>
      <c r="C16" s="49"/>
      <c r="D16" s="49"/>
      <c r="E16" s="49"/>
      <c r="F16" s="49"/>
      <c r="G16" s="49"/>
      <c r="H16" s="49"/>
      <c r="I16" s="49"/>
    </row>
  </sheetData>
  <mergeCells count="7">
    <mergeCell ref="B16:I16"/>
    <mergeCell ref="B2:G2"/>
    <mergeCell ref="B15:I15"/>
    <mergeCell ref="B10:F10"/>
    <mergeCell ref="B11:F11"/>
    <mergeCell ref="B12:F12"/>
    <mergeCell ref="B13:F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EAFE8-130C-4667-A843-5A2996312CCC}">
  <dimension ref="B1:J19"/>
  <sheetViews>
    <sheetView workbookViewId="0">
      <selection activeCell="D5" sqref="D5:D10"/>
    </sheetView>
  </sheetViews>
  <sheetFormatPr defaultRowHeight="13.8" x14ac:dyDescent="0.25"/>
  <cols>
    <col min="1" max="1" width="8.88671875" style="11"/>
    <col min="2" max="2" width="20.77734375" style="11" customWidth="1"/>
    <col min="3" max="4" width="12.77734375" style="11" customWidth="1"/>
    <col min="5" max="5" width="6.77734375" style="11" customWidth="1"/>
    <col min="6" max="7" width="12.77734375" style="11" customWidth="1"/>
    <col min="8" max="16384" width="8.88671875" style="11"/>
  </cols>
  <sheetData>
    <row r="1" spans="2:10" ht="14.4" thickBot="1" x14ac:dyDescent="0.3"/>
    <row r="2" spans="2:10" ht="18" thickBot="1" x14ac:dyDescent="0.3">
      <c r="B2" s="38" t="s">
        <v>8</v>
      </c>
      <c r="C2" s="39"/>
      <c r="D2" s="39"/>
      <c r="E2" s="39"/>
      <c r="F2" s="39"/>
      <c r="G2" s="40"/>
      <c r="H2" s="1"/>
      <c r="I2" s="1"/>
      <c r="J2" s="1"/>
    </row>
    <row r="3" spans="2:10" ht="14.4" thickBot="1" x14ac:dyDescent="0.3">
      <c r="B3" s="1"/>
      <c r="C3" s="1"/>
      <c r="D3" s="1"/>
      <c r="E3" s="1"/>
      <c r="F3" s="1"/>
      <c r="G3" s="1"/>
      <c r="H3" s="1"/>
      <c r="I3" s="1"/>
      <c r="J3" s="1"/>
    </row>
    <row r="4" spans="2:10" ht="14.4" thickTop="1" x14ac:dyDescent="0.25">
      <c r="B4" s="2" t="s">
        <v>0</v>
      </c>
      <c r="C4" s="3" t="s">
        <v>1</v>
      </c>
      <c r="D4" s="16" t="s">
        <v>29</v>
      </c>
      <c r="E4" s="16" t="s">
        <v>30</v>
      </c>
      <c r="F4" s="16" t="s">
        <v>31</v>
      </c>
      <c r="G4" s="4" t="s">
        <v>18</v>
      </c>
      <c r="H4" s="1"/>
      <c r="I4" s="1"/>
      <c r="J4" s="1"/>
    </row>
    <row r="5" spans="2:10" x14ac:dyDescent="0.25">
      <c r="B5" s="5" t="s">
        <v>21</v>
      </c>
      <c r="C5" s="6">
        <v>0.23</v>
      </c>
      <c r="D5" s="26">
        <v>4.7075471698113205</v>
      </c>
      <c r="E5" s="33">
        <v>0.06</v>
      </c>
      <c r="F5" s="24">
        <f>D5+(D5*E5)</f>
        <v>4.989999999999999</v>
      </c>
      <c r="G5" s="25">
        <f>D5*C5</f>
        <v>1.0827358490566037</v>
      </c>
      <c r="H5" s="1"/>
      <c r="I5" s="1"/>
      <c r="J5" s="1"/>
    </row>
    <row r="6" spans="2:10" x14ac:dyDescent="0.25">
      <c r="B6" s="5" t="s">
        <v>24</v>
      </c>
      <c r="C6" s="6">
        <v>1</v>
      </c>
      <c r="D6" s="26">
        <v>0.5528</v>
      </c>
      <c r="E6" s="33">
        <v>0.13</v>
      </c>
      <c r="F6" s="24">
        <f t="shared" ref="F6:F10" si="0">D6+(D6*E6)</f>
        <v>0.624664</v>
      </c>
      <c r="G6" s="25">
        <f t="shared" ref="G6:G10" si="1">D6*C6</f>
        <v>0.5528</v>
      </c>
      <c r="H6" s="1"/>
      <c r="I6" s="1"/>
      <c r="J6" s="1"/>
    </row>
    <row r="7" spans="2:10" x14ac:dyDescent="0.25">
      <c r="B7" s="5" t="s">
        <v>27</v>
      </c>
      <c r="C7" s="6">
        <v>1</v>
      </c>
      <c r="D7" s="26">
        <v>0.40440000000000004</v>
      </c>
      <c r="E7" s="33">
        <v>0.13</v>
      </c>
      <c r="F7" s="24">
        <f t="shared" si="0"/>
        <v>0.45697200000000004</v>
      </c>
      <c r="G7" s="25">
        <f t="shared" si="1"/>
        <v>0.40440000000000004</v>
      </c>
      <c r="H7" s="1"/>
      <c r="I7" s="1"/>
      <c r="J7" s="1"/>
    </row>
    <row r="8" spans="2:10" x14ac:dyDescent="0.25">
      <c r="B8" s="7" t="s">
        <v>28</v>
      </c>
      <c r="C8" s="8">
        <v>0.02</v>
      </c>
      <c r="D8" s="27">
        <v>2.93574</v>
      </c>
      <c r="E8" s="34">
        <v>0.13</v>
      </c>
      <c r="F8" s="24">
        <f t="shared" si="0"/>
        <v>3.3173862</v>
      </c>
      <c r="G8" s="25">
        <f t="shared" si="1"/>
        <v>0.058714800000000004</v>
      </c>
      <c r="H8" s="1"/>
      <c r="I8" s="1"/>
      <c r="J8" s="1"/>
    </row>
    <row r="9" spans="2:10" x14ac:dyDescent="0.25">
      <c r="B9" s="22" t="s">
        <v>19</v>
      </c>
      <c r="C9" s="20">
        <v>0.04</v>
      </c>
      <c r="D9" s="31">
        <v>1.6</v>
      </c>
      <c r="E9" s="35">
        <v>0.06</v>
      </c>
      <c r="F9" s="24">
        <f t="shared" si="0"/>
        <v>1.6960000000000002</v>
      </c>
      <c r="G9" s="25">
        <f t="shared" si="1"/>
        <v>0.064</v>
      </c>
      <c r="H9" s="1"/>
      <c r="I9" s="1"/>
      <c r="J9" s="1"/>
    </row>
    <row r="10" spans="2:10" ht="14.4" thickBot="1" x14ac:dyDescent="0.3">
      <c r="B10" s="19" t="s">
        <v>16</v>
      </c>
      <c r="C10" s="20">
        <v>0.02</v>
      </c>
      <c r="D10" s="31">
        <v>0.315</v>
      </c>
      <c r="E10" s="35">
        <v>0.06</v>
      </c>
      <c r="F10" s="24">
        <f t="shared" si="0"/>
        <v>0.3339</v>
      </c>
      <c r="G10" s="25">
        <f t="shared" si="1"/>
        <v>0.0063</v>
      </c>
      <c r="H10" s="1"/>
      <c r="I10" s="1"/>
      <c r="J10" s="1"/>
    </row>
    <row r="11" spans="2:10" ht="15" customHeight="1" thickTop="1" x14ac:dyDescent="0.25">
      <c r="B11" s="41" t="s">
        <v>11</v>
      </c>
      <c r="C11" s="42"/>
      <c r="D11" s="42"/>
      <c r="E11" s="42"/>
      <c r="F11" s="42"/>
      <c r="G11" s="30">
        <f>SUM(G5:G10)</f>
        <v>2.1689506490566037</v>
      </c>
      <c r="H11" s="1"/>
      <c r="I11" s="1"/>
      <c r="J11" s="1"/>
    </row>
    <row r="12" spans="2:10" x14ac:dyDescent="0.25">
      <c r="B12" s="43" t="s">
        <v>2</v>
      </c>
      <c r="C12" s="44"/>
      <c r="D12" s="44"/>
      <c r="E12" s="44"/>
      <c r="F12" s="44"/>
      <c r="G12" s="32">
        <v>14</v>
      </c>
      <c r="H12" s="1"/>
      <c r="I12" s="1"/>
      <c r="J12" s="1"/>
    </row>
    <row r="13" spans="2:10" x14ac:dyDescent="0.25">
      <c r="B13" s="45" t="s">
        <v>13</v>
      </c>
      <c r="C13" s="46"/>
      <c r="D13" s="46"/>
      <c r="E13" s="46"/>
      <c r="F13" s="46"/>
      <c r="G13" s="32">
        <f>G12/1.13</f>
        <v>12.389380530973453</v>
      </c>
      <c r="H13" s="1"/>
      <c r="I13" s="1"/>
      <c r="J13" s="1"/>
    </row>
    <row r="14" spans="2:10" ht="15" customHeight="1" thickBot="1" x14ac:dyDescent="0.3">
      <c r="B14" s="36" t="s">
        <v>3</v>
      </c>
      <c r="C14" s="37"/>
      <c r="D14" s="37"/>
      <c r="E14" s="37"/>
      <c r="F14" s="37"/>
      <c r="G14" s="21">
        <f>G11/G13</f>
        <v>0.17506530238814014</v>
      </c>
      <c r="H14" s="1"/>
      <c r="I14" s="1"/>
      <c r="J14" s="1"/>
    </row>
    <row r="15" spans="2:10" ht="14.4" thickTop="1" x14ac:dyDescent="0.25">
      <c r="B15" s="1"/>
      <c r="C15" s="1"/>
      <c r="D15" s="1"/>
      <c r="E15" s="1"/>
      <c r="F15" s="1"/>
      <c r="G15" s="1"/>
      <c r="H15" s="1"/>
      <c r="I15" s="1"/>
      <c r="J15" s="1"/>
    </row>
    <row r="16" spans="2:10" ht="15" customHeight="1" x14ac:dyDescent="0.25">
      <c r="B16" s="13" t="s">
        <v>4</v>
      </c>
      <c r="C16" s="13"/>
      <c r="D16" s="13"/>
      <c r="E16" s="13"/>
      <c r="F16" s="13"/>
      <c r="G16" s="13"/>
      <c r="H16" s="10"/>
      <c r="I16" s="1"/>
      <c r="J16" s="1"/>
    </row>
    <row r="17" spans="2:10" x14ac:dyDescent="0.25">
      <c r="B17" s="15" t="s">
        <v>5</v>
      </c>
      <c r="C17" s="15"/>
      <c r="D17" s="15"/>
      <c r="E17" s="15"/>
      <c r="F17" s="15"/>
      <c r="G17" s="15"/>
      <c r="H17" s="1"/>
      <c r="I17" s="1"/>
      <c r="J17" s="1"/>
    </row>
    <row r="18" spans="2:10" x14ac:dyDescent="0.25">
      <c r="H18" s="13"/>
      <c r="I18" s="13"/>
      <c r="J18" s="13"/>
    </row>
    <row r="19" spans="2:10" x14ac:dyDescent="0.25">
      <c r="H19" s="15"/>
      <c r="I19" s="15"/>
      <c r="J19" s="15"/>
    </row>
  </sheetData>
  <mergeCells count="5">
    <mergeCell ref="B14:F14"/>
    <mergeCell ref="B2:G2"/>
    <mergeCell ref="B11:F11"/>
    <mergeCell ref="B12:F12"/>
    <mergeCell ref="B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Bife à Ribbaí</vt:lpstr>
      <vt:lpstr>Picanha</vt:lpstr>
      <vt:lpstr>Lombo</vt:lpstr>
      <vt:lpstr>Perna Frango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 Ribas</dc:creator>
  <cp:lastModifiedBy>Nuno Ribas</cp:lastModifiedBy>
  <dcterms:created xsi:type="dcterms:W3CDTF">2026-06-11T13:55:01Z</dcterms:created>
  <dcterms:modified xsi:type="dcterms:W3CDTF">2026-07-23T14:43:04Z</dcterms:modified>
</cp:coreProperties>
</file>