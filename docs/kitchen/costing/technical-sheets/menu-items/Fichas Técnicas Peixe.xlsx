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5a07027276a17f/Documentos/Ribbaí/Fichas Técnicas/"/>
    </mc:Choice>
  </mc:AlternateContent>
  <xr:revisionPtr revIDLastSave="416" documentId="13_ncr:1_{A5BACE76-5A78-4EEE-B598-79C4D1A234A8}" xr6:coauthVersionLast="47" xr6:coauthVersionMax="47" xr10:uidLastSave="{41273750-8AFE-4C5E-815E-A126A28BBBFB}"/>
  <bookViews>
    <workbookView xWindow="-108" yWindow="-108" windowWidth="23256" windowHeight="12456" xr2:uid="{EC2A1498-5C80-4FD2-9760-DDDD74BF4346}"/>
  </bookViews>
  <sheets>
    <sheet name="Bife Atum" sheetId="1" r:id="rId1"/>
    <sheet name="Choco Frito" sheetId="2" r:id="rId2"/>
    <sheet name="Camarão à Brás" sheetId="3" r:id="rId3"/>
    <sheet name="Lombo de Salmão" sheetId="4" r:id="rId4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<sst xmlns="http://schemas.openxmlformats.org/spreadsheetml/2006/main" count="84" uniqueCount="38">
  <si>
    <t>Ingredientes</t>
  </si>
  <si>
    <t>Quantidades</t>
  </si>
  <si>
    <t>Preço Venda c/Iva</t>
  </si>
  <si>
    <t>% food cost</t>
  </si>
  <si>
    <t xml:space="preserve">Preparação: </t>
  </si>
  <si>
    <r>
      <t>Serviço:</t>
    </r>
    <r>
      <rPr>
        <sz val="11"/>
        <color theme="1"/>
        <rFont val="Arial"/>
        <family val="2"/>
      </rPr>
      <t xml:space="preserve"> </t>
    </r>
  </si>
  <si>
    <t>BIFE DE ATUM A RIBBAÍ</t>
  </si>
  <si>
    <t>CHOCO FRITO COM MOLHO TÁRTARO</t>
  </si>
  <si>
    <t>CAMARÃO À BRAS</t>
  </si>
  <si>
    <t>LOMBO DE SALMÃO</t>
  </si>
  <si>
    <t>Óleo AR</t>
  </si>
  <si>
    <t>Custo Mercadoria s/Iva</t>
  </si>
  <si>
    <t>Azeite</t>
  </si>
  <si>
    <t>Ovo</t>
  </si>
  <si>
    <t>Limão</t>
  </si>
  <si>
    <t>Preço Venda s/Iva</t>
  </si>
  <si>
    <t>Custo</t>
  </si>
  <si>
    <t>Sal grosso</t>
  </si>
  <si>
    <t>Farinha s/ fermento</t>
  </si>
  <si>
    <t>Salsa</t>
  </si>
  <si>
    <t>Sal fino</t>
  </si>
  <si>
    <t>Alho</t>
  </si>
  <si>
    <t>-</t>
  </si>
  <si>
    <t>Camarão 30/40 cong</t>
  </si>
  <si>
    <t>Batata palha</t>
  </si>
  <si>
    <t>Cebola roxa</t>
  </si>
  <si>
    <t>Batatas (dose)</t>
  </si>
  <si>
    <t>Salada (dose)</t>
  </si>
  <si>
    <t>Arroz (dose)</t>
  </si>
  <si>
    <t>Atum fresco</t>
  </si>
  <si>
    <t>Salmão fresco</t>
  </si>
  <si>
    <t>Pota cong</t>
  </si>
  <si>
    <t>Preço s/ IVA</t>
  </si>
  <si>
    <t>IVA</t>
  </si>
  <si>
    <t>Preço c/ IVA</t>
  </si>
  <si>
    <t>Azeitona laminada</t>
  </si>
  <si>
    <t>Molho tártaro</t>
  </si>
  <si>
    <t>Puré batata doce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</si>
</sst>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10" fontId="3" fillId="0" borderId="0" xfId="1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/>
    <xf numFmtId="0" fontId="4" fillId="2" borderId="10" xfId="0" applyFont="1" applyFill="1" applyBorder="1" applyAlignment="1">
      <alignment horizontal="center" vertical="center"/>
    </xf>
    <xf numFmtId="9" fontId="4" fillId="2" borderId="20" xfId="1" applyFont="1" applyFill="1" applyBorder="1" applyAlignment="1">
      <alignment vertical="center"/>
    </xf>
    <xf numFmtId="0" fontId="3" fillId="3" borderId="11" xfId="0" applyFont="1" applyFill="1" applyBorder="1" applyAlignment="1">
      <alignment horizontal="right" vertical="center"/>
    </xf>
    <xf numFmtId="0" fontId="3" fillId="3" borderId="8" xfId="0" applyFont="1" applyFill="1" applyBorder="1" applyAlignment="1">
      <alignment horizontal="right" vertical="center"/>
    </xf>
    <xf numFmtId="0" fontId="3" fillId="0" borderId="11" xfId="0" applyFont="1" applyBorder="1" applyAlignment="1">
      <alignment horizontal="right"/>
    </xf>
    <xf numFmtId="0" fontId="3" fillId="0" borderId="8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3" fillId="0" borderId="11" xfId="0" quotePrefix="1" applyFont="1" applyBorder="1" applyAlignment="1">
      <alignment horizontal="right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right" vertical="center"/>
    </xf>
    <xf numFmtId="164" fontId="4" fillId="3" borderId="9" xfId="0" applyNumberFormat="1" applyFont="1" applyFill="1" applyBorder="1" applyAlignment="1">
      <alignment horizontal="right" vertical="center"/>
    </xf>
    <xf numFmtId="164" fontId="3" fillId="3" borderId="8" xfId="0" applyNumberFormat="1" applyFont="1" applyFill="1" applyBorder="1" applyAlignment="1">
      <alignment horizontal="right" vertical="center"/>
    </xf>
    <xf numFmtId="164" fontId="3" fillId="3" borderId="11" xfId="0" applyNumberFormat="1" applyFont="1" applyFill="1" applyBorder="1" applyAlignment="1">
      <alignment horizontal="right" vertical="center"/>
    </xf>
    <xf numFmtId="164" fontId="3" fillId="0" borderId="11" xfId="0" applyNumberFormat="1" applyFont="1" applyBorder="1" applyAlignment="1">
      <alignment horizontal="right"/>
    </xf>
    <xf numFmtId="164" fontId="3" fillId="0" borderId="11" xfId="0" applyNumberFormat="1" applyFont="1" applyBorder="1" applyAlignment="1">
      <alignment horizontal="right" vertical="center"/>
    </xf>
    <xf numFmtId="164" fontId="4" fillId="0" borderId="18" xfId="2" applyNumberFormat="1" applyFont="1" applyBorder="1" applyAlignment="1">
      <alignment horizontal="right" vertical="center"/>
    </xf>
    <xf numFmtId="164" fontId="4" fillId="0" borderId="19" xfId="2" applyNumberFormat="1" applyFont="1" applyBorder="1" applyAlignment="1">
      <alignment horizontal="right" vertical="center"/>
    </xf>
    <xf numFmtId="164" fontId="3" fillId="0" borderId="11" xfId="0" quotePrefix="1" applyNumberFormat="1" applyFont="1" applyBorder="1" applyAlignment="1">
      <alignment horizontal="right"/>
    </xf>
    <xf numFmtId="164" fontId="3" fillId="0" borderId="8" xfId="0" applyNumberFormat="1" applyFont="1" applyBorder="1" applyAlignment="1">
      <alignment horizontal="right" vertical="center"/>
    </xf>
    <xf numFmtId="164" fontId="4" fillId="0" borderId="19" xfId="2" applyNumberFormat="1" applyFont="1" applyBorder="1" applyAlignment="1">
      <alignment vertical="center"/>
    </xf>
    <xf numFmtId="164" fontId="4" fillId="0" borderId="18" xfId="2" applyNumberFormat="1" applyFont="1" applyBorder="1" applyAlignment="1">
      <alignment vertical="center"/>
    </xf>
    <xf numFmtId="164" fontId="3" fillId="0" borderId="22" xfId="0" applyNumberFormat="1" applyFont="1" applyBorder="1" applyAlignment="1">
      <alignment horizontal="right" vertical="center"/>
    </xf>
    <xf numFmtId="164" fontId="3" fillId="3" borderId="23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9" fontId="3" fillId="3" borderId="23" xfId="1" applyFont="1" applyFill="1" applyBorder="1" applyAlignment="1">
      <alignment horizontal="center" vertical="center"/>
    </xf>
    <xf numFmtId="9" fontId="3" fillId="0" borderId="23" xfId="1" applyFont="1" applyBorder="1" applyAlignment="1">
      <alignment horizontal="center" vertical="center"/>
    </xf>
    <xf numFmtId="9" fontId="3" fillId="0" borderId="24" xfId="1" applyFont="1" applyBorder="1" applyAlignment="1">
      <alignment horizontal="center" vertical="center"/>
    </xf>
    <xf numFmtId="9" fontId="3" fillId="3" borderId="15" xfId="1" applyFont="1" applyFill="1" applyBorder="1" applyAlignment="1">
      <alignment horizontal="center" vertical="center"/>
    </xf>
    <xf numFmtId="9" fontId="3" fillId="0" borderId="15" xfId="1" quotePrefix="1" applyFont="1" applyBorder="1" applyAlignment="1">
      <alignment horizontal="center"/>
    </xf>
    <xf numFmtId="9" fontId="3" fillId="0" borderId="15" xfId="1" applyFont="1" applyBorder="1" applyAlignment="1">
      <alignment horizontal="center"/>
    </xf>
    <xf numFmtId="9" fontId="3" fillId="0" borderId="15" xfId="1" applyFont="1" applyBorder="1" applyAlignment="1">
      <alignment horizontal="center" vertical="center"/>
    </xf>
  </cellXfs>
  <cellStyles count="3">
    <cellStyle name="Moeda 2" xfId="2" xr:uid="{C011942F-60CE-4E17-8436-7ACB6F45F248}"/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A6C63-51F7-499C-8FC4-CF796CC6C800}">
  <dimension ref="B1:M17"/>
  <sheetViews>
    <sheetView tabSelected="1" workbookViewId="0">
      <selection activeCell="E5" sqref="E5:E10"/>
    </sheetView>
  </sheetViews>
  <sheetFormatPr defaultRowHeight="13.8" x14ac:dyDescent="0.25"/>
  <cols>
    <col min="1" max="1" width="8.88671875" style="11"/>
    <col min="2" max="2" width="20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13" ht="14.4" thickBot="1" x14ac:dyDescent="0.3"/>
    <row r="2" spans="2:13" ht="18" thickBot="1" x14ac:dyDescent="0.3">
      <c r="B2" s="35" t="s">
        <v>6</v>
      </c>
      <c r="C2" s="36"/>
      <c r="D2" s="36"/>
      <c r="E2" s="36"/>
      <c r="F2" s="36"/>
      <c r="G2" s="37"/>
      <c r="H2" s="1"/>
      <c r="I2" s="1"/>
      <c r="J2" s="1"/>
      <c r="K2" s="1"/>
      <c r="L2" s="1"/>
      <c r="M2" s="1"/>
    </row>
    <row r="3" spans="2:13" ht="14.4" thickBo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ht="14.4" thickTop="1" x14ac:dyDescent="0.25">
      <c r="B4" s="2" t="s">
        <v>0</v>
      </c>
      <c r="C4" s="3" t="s">
        <v>1</v>
      </c>
      <c r="D4" s="12" t="s">
        <v>32</v>
      </c>
      <c r="E4" s="12" t="s">
        <v>33</v>
      </c>
      <c r="F4" s="12" t="s">
        <v>34</v>
      </c>
      <c r="G4" s="4" t="s">
        <v>16</v>
      </c>
      <c r="H4" s="1"/>
      <c r="I4" s="1"/>
      <c r="J4" s="1"/>
      <c r="K4" s="1"/>
      <c r="L4" s="1"/>
      <c r="M4" s="1"/>
    </row>
    <row r="5" spans="2:13" x14ac:dyDescent="0.25">
      <c r="B5" s="5" t="s">
        <v>29</v>
      </c>
      <c r="C5" s="14">
        <v>0.16</v>
      </c>
      <c r="D5" s="24">
        <v>14</v>
      </c>
      <c r="E5" s="51">
        <v>0.06</v>
      </c>
      <c r="F5" s="23">
        <f>D5+(D5*E5)</f>
        <v>14.84</v>
      </c>
      <c r="G5" s="22">
        <f>D5*C5</f>
        <v>2.24</v>
      </c>
      <c r="H5" s="1"/>
      <c r="I5" s="1"/>
      <c r="J5" s="1"/>
      <c r="K5" s="1"/>
      <c r="L5" s="1"/>
      <c r="M5" s="1"/>
    </row>
    <row r="6" spans="2:13" x14ac:dyDescent="0.25">
      <c r="B6" s="5" t="s">
        <v>12</v>
      </c>
      <c r="C6" s="14">
        <v>0.03</v>
      </c>
      <c r="D6" s="24">
        <v>2.98</v>
      </c>
      <c r="E6" s="51">
        <v>0.06</v>
      </c>
      <c r="F6" s="23">
        <f t="shared" ref="F6:F10" si="0">D6+(D6*E6)</f>
        <v>3.1588</v>
      </c>
      <c r="G6" s="22">
        <f t="shared" ref="G6:G10" si="1">D6*C6</f>
        <v>0.0894</v>
      </c>
      <c r="H6" s="1"/>
      <c r="I6" s="1"/>
      <c r="J6" s="1"/>
      <c r="K6" s="1"/>
      <c r="L6" s="1"/>
      <c r="M6" s="1"/>
    </row>
    <row r="7" spans="2:13" x14ac:dyDescent="0.25">
      <c r="B7" s="5" t="s">
        <v>28</v>
      </c>
      <c r="C7" s="15">
        <v>1</v>
      </c>
      <c r="D7" s="23">
        <v>0.08515932000000001</v>
      </c>
      <c r="E7" s="48"/>
      <c r="F7" s="23">
        <f t="shared" si="0"/>
        <v>0.08515932000000001</v>
      </c>
      <c r="G7" s="22">
        <f t="shared" si="1"/>
        <v>0.08515932000000001</v>
      </c>
      <c r="H7" s="1"/>
      <c r="I7" s="1"/>
      <c r="J7" s="1"/>
      <c r="K7" s="1"/>
      <c r="L7" s="1"/>
      <c r="M7" s="1"/>
    </row>
    <row r="8" spans="2:13" x14ac:dyDescent="0.25">
      <c r="B8" s="5" t="s">
        <v>26</v>
      </c>
      <c r="C8" s="15">
        <v>1</v>
      </c>
      <c r="D8" s="23">
        <v>0.5528</v>
      </c>
      <c r="E8" s="48"/>
      <c r="F8" s="23">
        <f t="shared" si="0"/>
        <v>0.5528</v>
      </c>
      <c r="G8" s="22">
        <f t="shared" si="1"/>
        <v>0.5528</v>
      </c>
      <c r="H8" s="1"/>
      <c r="I8" s="1"/>
      <c r="J8" s="1"/>
      <c r="K8" s="1"/>
      <c r="L8" s="1"/>
      <c r="M8" s="1"/>
    </row>
    <row r="9" spans="2:13" x14ac:dyDescent="0.25">
      <c r="B9" s="6" t="s">
        <v>13</v>
      </c>
      <c r="C9" s="16">
        <v>1</v>
      </c>
      <c r="D9" s="25">
        <v>0.2</v>
      </c>
      <c r="E9" s="53">
        <v>0.06</v>
      </c>
      <c r="F9" s="23">
        <f t="shared" si="0"/>
        <v>0.21200000000000002</v>
      </c>
      <c r="G9" s="22">
        <f t="shared" si="1"/>
        <v>0.2</v>
      </c>
      <c r="H9" s="1"/>
      <c r="I9" s="1"/>
      <c r="J9" s="1"/>
      <c r="K9" s="1"/>
      <c r="L9" s="1"/>
      <c r="M9" s="1"/>
    </row>
    <row r="10" spans="2:13" ht="14.4" thickBot="1" x14ac:dyDescent="0.3">
      <c r="B10" s="7" t="s">
        <v>17</v>
      </c>
      <c r="C10" s="18">
        <v>1.4999999999999999E-2</v>
      </c>
      <c r="D10" s="26">
        <v>0.315</v>
      </c>
      <c r="E10" s="54">
        <v>0.06</v>
      </c>
      <c r="F10" s="23">
        <f t="shared" si="0"/>
        <v>0.3339</v>
      </c>
      <c r="G10" s="22">
        <f t="shared" si="1"/>
        <v>0.004725</v>
      </c>
      <c r="H10" s="1"/>
      <c r="I10" s="1"/>
      <c r="J10" s="1"/>
      <c r="K10" s="1"/>
      <c r="L10" s="1"/>
      <c r="M10" s="1"/>
    </row>
    <row r="11" spans="2:13" ht="14.4" thickTop="1" x14ac:dyDescent="0.25">
      <c r="B11" s="40" t="s">
        <v>11</v>
      </c>
      <c r="C11" s="41"/>
      <c r="D11" s="41"/>
      <c r="E11" s="41"/>
      <c r="F11" s="41"/>
      <c r="G11" s="27">
        <f>SUM(G5:G10)</f>
        <v>3.17208432</v>
      </c>
      <c r="H11" s="1"/>
      <c r="I11" s="1"/>
      <c r="J11" s="1"/>
      <c r="K11" s="1"/>
      <c r="L11" s="1"/>
      <c r="M11" s="1"/>
    </row>
    <row r="12" spans="2:13" x14ac:dyDescent="0.25">
      <c r="B12" s="42" t="s">
        <v>2</v>
      </c>
      <c r="C12" s="43"/>
      <c r="D12" s="43"/>
      <c r="E12" s="43"/>
      <c r="F12" s="43"/>
      <c r="G12" s="28">
        <v>17</v>
      </c>
      <c r="H12" s="1"/>
      <c r="I12" s="1"/>
      <c r="J12" s="1"/>
      <c r="K12" s="1"/>
      <c r="L12" s="1"/>
      <c r="M12" s="1"/>
    </row>
    <row r="13" spans="2:13" x14ac:dyDescent="0.25">
      <c r="B13" s="44" t="s">
        <v>15</v>
      </c>
      <c r="C13" s="45"/>
      <c r="D13" s="45"/>
      <c r="E13" s="45"/>
      <c r="F13" s="45"/>
      <c r="G13" s="28">
        <f>G12/1.13</f>
        <v>15.044247787610621</v>
      </c>
      <c r="H13" s="1"/>
      <c r="I13" s="1"/>
      <c r="J13" s="1"/>
      <c r="K13" s="1"/>
      <c r="L13" s="1"/>
      <c r="M13" s="1"/>
    </row>
    <row r="14" spans="2:13" ht="15" customHeight="1" thickBot="1" x14ac:dyDescent="0.3">
      <c r="B14" s="46" t="s">
        <v>3</v>
      </c>
      <c r="C14" s="47"/>
      <c r="D14" s="47"/>
      <c r="E14" s="47"/>
      <c r="F14" s="47"/>
      <c r="G14" s="13">
        <f>G11/G13</f>
        <v>0.21085031068235294</v>
      </c>
      <c r="H14" s="8"/>
      <c r="I14" s="1"/>
      <c r="J14" s="1"/>
      <c r="K14" s="1"/>
      <c r="L14" s="1"/>
      <c r="M14" s="1"/>
    </row>
    <row r="15" spans="2:13" ht="14.4" thickTop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2:13" x14ac:dyDescent="0.25">
      <c r="B16" s="38" t="s">
        <v>4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</row>
    <row r="17" spans="2:13" x14ac:dyDescent="0.25">
      <c r="B17" s="39" t="s">
        <v>5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</row>
  </sheetData>
  <mergeCells count="7">
    <mergeCell ref="B17:M17"/>
    <mergeCell ref="B2:G2"/>
    <mergeCell ref="B16:M16"/>
    <mergeCell ref="B11:F11"/>
    <mergeCell ref="B12:F12"/>
    <mergeCell ref="B13:F13"/>
    <mergeCell ref="B14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68A5-708D-4BF6-AE11-4748074300A9}">
  <dimension ref="B1:I18"/>
  <sheetViews>
    <sheetView workbookViewId="0">
      <selection activeCell="E5" sqref="E5:E11"/>
    </sheetView>
  </sheetViews>
  <sheetFormatPr defaultRowHeight="13.8" x14ac:dyDescent="0.25"/>
  <cols>
    <col min="1" max="1" width="8.88671875" style="11"/>
    <col min="2" max="2" width="20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9" ht="14.4" thickBot="1" x14ac:dyDescent="0.3"/>
    <row r="2" spans="2:9" ht="18" thickBot="1" x14ac:dyDescent="0.3">
      <c r="B2" s="35" t="s">
        <v>7</v>
      </c>
      <c r="C2" s="36"/>
      <c r="D2" s="36"/>
      <c r="E2" s="36"/>
      <c r="F2" s="36"/>
      <c r="G2" s="37"/>
      <c r="H2" s="1"/>
      <c r="I2" s="1"/>
    </row>
    <row r="3" spans="2:9" ht="14.4" thickBot="1" x14ac:dyDescent="0.3">
      <c r="B3" s="1"/>
      <c r="C3" s="1"/>
      <c r="D3" s="1"/>
      <c r="E3" s="1"/>
      <c r="F3" s="1"/>
      <c r="G3" s="1"/>
      <c r="H3" s="1"/>
      <c r="I3" s="1"/>
    </row>
    <row r="4" spans="2:9" ht="14.4" thickTop="1" x14ac:dyDescent="0.25">
      <c r="B4" s="2" t="s">
        <v>0</v>
      </c>
      <c r="C4" s="3" t="s">
        <v>1</v>
      </c>
      <c r="D4" s="12" t="s">
        <v>32</v>
      </c>
      <c r="E4" s="12" t="s">
        <v>33</v>
      </c>
      <c r="F4" s="12" t="s">
        <v>34</v>
      </c>
      <c r="G4" s="4" t="s">
        <v>16</v>
      </c>
      <c r="H4" s="1"/>
      <c r="I4" s="1"/>
    </row>
    <row r="5" spans="2:9" x14ac:dyDescent="0.25">
      <c r="B5" s="5" t="s">
        <v>31</v>
      </c>
      <c r="C5" s="14">
        <v>0.22</v>
      </c>
      <c r="D5" s="24">
        <v>3.296</v>
      </c>
      <c r="E5" s="51">
        <v>0.06</v>
      </c>
      <c r="F5" s="23">
        <f>D5+(D5*E5)</f>
        <v>3.49376</v>
      </c>
      <c r="G5" s="22">
        <f>D5*C5</f>
        <v>0.72512</v>
      </c>
      <c r="H5" s="1"/>
      <c r="I5" s="1"/>
    </row>
    <row r="6" spans="2:9" x14ac:dyDescent="0.25">
      <c r="B6" s="5" t="s">
        <v>18</v>
      </c>
      <c r="C6" s="14">
        <v>0.04</v>
      </c>
      <c r="D6" s="24">
        <v>0.728</v>
      </c>
      <c r="E6" s="51">
        <v>0.06</v>
      </c>
      <c r="F6" s="23">
        <f t="shared" ref="F6:F11" si="0">D6+(D6*E6)</f>
        <v>0.7716799999999999</v>
      </c>
      <c r="G6" s="22">
        <f t="shared" ref="G6:G11" si="1">D6*C6</f>
        <v>0.02912</v>
      </c>
      <c r="H6" s="1"/>
      <c r="I6" s="1"/>
    </row>
    <row r="7" spans="2:9" x14ac:dyDescent="0.25">
      <c r="B7" s="5" t="s">
        <v>10</v>
      </c>
      <c r="C7" s="14" t="s">
        <v>22</v>
      </c>
      <c r="D7" s="24" t="s">
        <v>22</v>
      </c>
      <c r="E7" s="51" t="s">
        <v>22</v>
      </c>
      <c r="F7" s="23" t="s">
        <v>22</v>
      </c>
      <c r="G7" s="22" t="s">
        <v>22</v>
      </c>
      <c r="H7" s="1"/>
      <c r="I7" s="1"/>
    </row>
    <row r="8" spans="2:9" x14ac:dyDescent="0.25">
      <c r="B8" s="5" t="s">
        <v>36</v>
      </c>
      <c r="C8" s="14">
        <v>0.03</v>
      </c>
      <c r="D8" s="24">
        <v>2.471612</v>
      </c>
      <c r="E8" s="51"/>
      <c r="F8" s="23">
        <f t="shared" si="0"/>
        <v>2.471612</v>
      </c>
      <c r="G8" s="22">
        <f t="shared" si="1"/>
        <v>0.07414836</v>
      </c>
      <c r="H8" s="1"/>
      <c r="I8" s="1"/>
    </row>
    <row r="9" spans="2:9" x14ac:dyDescent="0.25">
      <c r="B9" s="6" t="s">
        <v>14</v>
      </c>
      <c r="C9" s="19">
        <v>0.04</v>
      </c>
      <c r="D9" s="29">
        <v>1.6</v>
      </c>
      <c r="E9" s="52">
        <v>0.06</v>
      </c>
      <c r="F9" s="23">
        <f t="shared" si="0"/>
        <v>1.6960000000000002</v>
      </c>
      <c r="G9" s="22">
        <f t="shared" si="1"/>
        <v>0.064</v>
      </c>
      <c r="H9" s="1"/>
      <c r="I9" s="1"/>
    </row>
    <row r="10" spans="2:9" x14ac:dyDescent="0.25">
      <c r="B10" s="7" t="s">
        <v>26</v>
      </c>
      <c r="C10" s="17">
        <v>1</v>
      </c>
      <c r="D10" s="30">
        <v>0.5528</v>
      </c>
      <c r="E10" s="49"/>
      <c r="F10" s="23">
        <f t="shared" si="0"/>
        <v>0.5528</v>
      </c>
      <c r="G10" s="22">
        <f t="shared" si="1"/>
        <v>0.5528</v>
      </c>
      <c r="H10" s="1"/>
      <c r="I10" s="1"/>
    </row>
    <row r="11" spans="2:9" ht="14.4" thickBot="1" x14ac:dyDescent="0.3">
      <c r="B11" s="7" t="s">
        <v>27</v>
      </c>
      <c r="C11" s="17">
        <v>1</v>
      </c>
      <c r="D11" s="30">
        <v>0.40440000000000004</v>
      </c>
      <c r="E11" s="49"/>
      <c r="F11" s="23">
        <f t="shared" si="0"/>
        <v>0.40440000000000004</v>
      </c>
      <c r="G11" s="22">
        <f t="shared" si="1"/>
        <v>0.40440000000000004</v>
      </c>
      <c r="H11" s="1"/>
      <c r="I11" s="1"/>
    </row>
    <row r="12" spans="2:9" ht="14.4" thickTop="1" x14ac:dyDescent="0.25">
      <c r="B12" s="40" t="s">
        <v>11</v>
      </c>
      <c r="C12" s="41"/>
      <c r="D12" s="41"/>
      <c r="E12" s="41"/>
      <c r="F12" s="41"/>
      <c r="G12" s="32">
        <f>SUM(G5:G11)</f>
        <v>1.84958836</v>
      </c>
      <c r="H12" s="1"/>
      <c r="I12" s="1"/>
    </row>
    <row r="13" spans="2:9" x14ac:dyDescent="0.25">
      <c r="B13" s="42" t="s">
        <v>2</v>
      </c>
      <c r="C13" s="43"/>
      <c r="D13" s="43"/>
      <c r="E13" s="43"/>
      <c r="F13" s="43"/>
      <c r="G13" s="31">
        <v>16</v>
      </c>
      <c r="H13" s="1"/>
      <c r="I13" s="1"/>
    </row>
    <row r="14" spans="2:9" x14ac:dyDescent="0.25">
      <c r="B14" s="44" t="s">
        <v>15</v>
      </c>
      <c r="C14" s="45"/>
      <c r="D14" s="45"/>
      <c r="E14" s="45"/>
      <c r="F14" s="45"/>
      <c r="G14" s="28">
        <f>G13/1.13</f>
        <v>14.159292035398231</v>
      </c>
      <c r="H14" s="1"/>
      <c r="I14" s="1"/>
    </row>
    <row r="15" spans="2:9" ht="15" customHeight="1" thickBot="1" x14ac:dyDescent="0.3">
      <c r="B15" s="46" t="s">
        <v>3</v>
      </c>
      <c r="C15" s="47"/>
      <c r="D15" s="47"/>
      <c r="E15" s="47"/>
      <c r="F15" s="47"/>
      <c r="G15" s="13">
        <f>G12/G14</f>
        <v>0.130627177925</v>
      </c>
      <c r="H15" s="8"/>
      <c r="I15" s="1"/>
    </row>
    <row r="16" spans="2:9" ht="14.4" thickTop="1" x14ac:dyDescent="0.25">
      <c r="B16" s="1"/>
      <c r="C16" s="1"/>
      <c r="D16" s="1"/>
      <c r="E16" s="1"/>
      <c r="F16" s="1"/>
      <c r="G16" s="1"/>
      <c r="H16" s="1"/>
      <c r="I16" s="1"/>
    </row>
    <row r="17" spans="2:9" x14ac:dyDescent="0.25">
      <c r="B17" s="9" t="s">
        <v>4</v>
      </c>
      <c r="C17" s="9"/>
      <c r="D17" s="9"/>
      <c r="E17" s="9"/>
      <c r="F17" s="9"/>
      <c r="G17" s="9"/>
      <c r="H17" s="9"/>
      <c r="I17" s="9"/>
    </row>
    <row r="18" spans="2:9" x14ac:dyDescent="0.25">
      <c r="B18" s="10" t="s">
        <v>5</v>
      </c>
      <c r="C18" s="10"/>
      <c r="D18" s="10"/>
      <c r="E18" s="10"/>
      <c r="F18" s="10"/>
      <c r="G18" s="10"/>
      <c r="H18" s="10"/>
      <c r="I18" s="10"/>
    </row>
  </sheetData>
  <mergeCells count="5">
    <mergeCell ref="B15:F15"/>
    <mergeCell ref="B2:G2"/>
    <mergeCell ref="B12:F12"/>
    <mergeCell ref="B13:F13"/>
    <mergeCell ref="B14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5E22-A9E1-40D7-8403-F0D86B9E1356}">
  <dimension ref="B1:M20"/>
  <sheetViews>
    <sheetView workbookViewId="0">
      <selection activeCell="E5" sqref="E5:E13"/>
    </sheetView>
  </sheetViews>
  <sheetFormatPr defaultRowHeight="13.8" x14ac:dyDescent="0.25"/>
  <cols>
    <col min="1" max="1" width="8.88671875" style="11"/>
    <col min="2" max="2" width="20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13" ht="14.4" thickBot="1" x14ac:dyDescent="0.3"/>
    <row r="2" spans="2:13" ht="18" thickBot="1" x14ac:dyDescent="0.3">
      <c r="B2" s="35" t="s">
        <v>8</v>
      </c>
      <c r="C2" s="36"/>
      <c r="D2" s="36"/>
      <c r="E2" s="36"/>
      <c r="F2" s="36"/>
      <c r="G2" s="37"/>
      <c r="H2" s="1"/>
      <c r="I2" s="1"/>
      <c r="J2" s="1"/>
      <c r="K2" s="1"/>
      <c r="L2" s="1"/>
      <c r="M2" s="1"/>
    </row>
    <row r="3" spans="2:13" ht="14.4" thickBo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ht="14.4" thickTop="1" x14ac:dyDescent="0.25">
      <c r="B4" s="2" t="s">
        <v>0</v>
      </c>
      <c r="C4" s="3" t="s">
        <v>1</v>
      </c>
      <c r="D4" s="12" t="s">
        <v>32</v>
      </c>
      <c r="E4" s="12" t="s">
        <v>33</v>
      </c>
      <c r="F4" s="12" t="s">
        <v>34</v>
      </c>
      <c r="G4" s="4" t="s">
        <v>16</v>
      </c>
      <c r="H4" s="1"/>
      <c r="I4" s="1"/>
      <c r="J4" s="1"/>
      <c r="K4" s="1"/>
      <c r="L4" s="1"/>
      <c r="M4" s="1"/>
    </row>
    <row r="5" spans="2:13" x14ac:dyDescent="0.25">
      <c r="B5" s="5" t="s">
        <v>23</v>
      </c>
      <c r="C5" s="15">
        <v>0.22</v>
      </c>
      <c r="D5" s="23">
        <v>6.241</v>
      </c>
      <c r="E5" s="48">
        <v>0.23</v>
      </c>
      <c r="F5" s="23">
        <f>D5+(D5*E5)</f>
        <v>7.67643</v>
      </c>
      <c r="G5" s="22">
        <f>D5*C5</f>
        <v>1.37302</v>
      </c>
      <c r="H5" s="1"/>
      <c r="I5" s="1"/>
      <c r="J5" s="1"/>
      <c r="K5" s="1"/>
      <c r="L5" s="1"/>
      <c r="M5" s="1"/>
    </row>
    <row r="6" spans="2:13" x14ac:dyDescent="0.25">
      <c r="B6" s="5" t="s">
        <v>24</v>
      </c>
      <c r="C6" s="15">
        <v>0.15</v>
      </c>
      <c r="D6" s="23">
        <v>4.14</v>
      </c>
      <c r="E6" s="48">
        <v>0.23</v>
      </c>
      <c r="F6" s="23">
        <f t="shared" ref="F6:F13" si="0">D6+(D6*E6)</f>
        <v>5.0922</v>
      </c>
      <c r="G6" s="22">
        <f t="shared" ref="G6:G13" si="1">D6*C6</f>
        <v>0.6209999999999999</v>
      </c>
      <c r="H6" s="1"/>
      <c r="I6" s="1"/>
      <c r="J6" s="1"/>
      <c r="K6" s="1"/>
      <c r="L6" s="1"/>
      <c r="M6" s="1"/>
    </row>
    <row r="7" spans="2:13" x14ac:dyDescent="0.25">
      <c r="B7" s="5" t="s">
        <v>13</v>
      </c>
      <c r="C7" s="15">
        <v>2</v>
      </c>
      <c r="D7" s="23">
        <v>0.2</v>
      </c>
      <c r="E7" s="48">
        <v>0.06</v>
      </c>
      <c r="F7" s="23">
        <f t="shared" si="0"/>
        <v>0.21200000000000002</v>
      </c>
      <c r="G7" s="22">
        <f t="shared" si="1"/>
        <v>0.4</v>
      </c>
      <c r="H7" s="1"/>
      <c r="I7" s="1"/>
      <c r="J7" s="1"/>
      <c r="K7" s="1"/>
      <c r="L7" s="1"/>
      <c r="M7" s="1"/>
    </row>
    <row r="8" spans="2:13" x14ac:dyDescent="0.25">
      <c r="B8" s="5" t="s">
        <v>25</v>
      </c>
      <c r="C8" s="15">
        <v>7.0000000000000007E-2</v>
      </c>
      <c r="D8" s="23">
        <v>1.1</v>
      </c>
      <c r="E8" s="48">
        <v>0.06</v>
      </c>
      <c r="F8" s="23">
        <f t="shared" si="0"/>
        <v>1.1660000000000001</v>
      </c>
      <c r="G8" s="22">
        <f t="shared" si="1"/>
        <v>0.07700000000000001</v>
      </c>
      <c r="H8" s="1"/>
      <c r="I8" s="1"/>
      <c r="J8" s="1"/>
      <c r="K8" s="1"/>
      <c r="L8" s="1"/>
      <c r="M8" s="1"/>
    </row>
    <row r="9" spans="2:13" x14ac:dyDescent="0.25">
      <c r="B9" s="6" t="s">
        <v>35</v>
      </c>
      <c r="C9" s="17">
        <v>1.4999999999999999E-2</v>
      </c>
      <c r="D9" s="30">
        <v>2.02</v>
      </c>
      <c r="E9" s="49">
        <v>0.23</v>
      </c>
      <c r="F9" s="23">
        <f t="shared" si="0"/>
        <v>2.4846</v>
      </c>
      <c r="G9" s="22">
        <f t="shared" si="1"/>
        <v>0.0303</v>
      </c>
      <c r="H9" s="1"/>
      <c r="I9" s="1"/>
      <c r="J9" s="1"/>
      <c r="K9" s="1"/>
      <c r="L9" s="1"/>
      <c r="M9" s="1"/>
    </row>
    <row r="10" spans="2:13" x14ac:dyDescent="0.25">
      <c r="B10" s="7" t="s">
        <v>20</v>
      </c>
      <c r="C10" s="17">
        <v>0.03</v>
      </c>
      <c r="D10" s="30">
        <v>1.4</v>
      </c>
      <c r="E10" s="49">
        <v>0.06</v>
      </c>
      <c r="F10" s="23">
        <f t="shared" si="0"/>
        <v>1.484</v>
      </c>
      <c r="G10" s="22">
        <f t="shared" si="1"/>
        <v>0.041999999999999996</v>
      </c>
      <c r="H10" s="1"/>
      <c r="I10" s="1"/>
      <c r="J10" s="1"/>
      <c r="K10" s="1"/>
      <c r="L10" s="1"/>
      <c r="M10" s="1"/>
    </row>
    <row r="11" spans="2:13" x14ac:dyDescent="0.25">
      <c r="B11" s="7" t="s">
        <v>12</v>
      </c>
      <c r="C11" s="17">
        <v>0.05</v>
      </c>
      <c r="D11" s="30">
        <v>2.98</v>
      </c>
      <c r="E11" s="49">
        <v>0.06</v>
      </c>
      <c r="F11" s="23">
        <f t="shared" si="0"/>
        <v>3.1588</v>
      </c>
      <c r="G11" s="22">
        <f t="shared" si="1"/>
        <v>0.149</v>
      </c>
      <c r="H11" s="1"/>
      <c r="I11" s="1"/>
      <c r="J11" s="1"/>
      <c r="K11" s="1"/>
      <c r="L11" s="1"/>
      <c r="M11" s="1"/>
    </row>
    <row r="12" spans="2:13" x14ac:dyDescent="0.25">
      <c r="B12" s="20" t="s">
        <v>21</v>
      </c>
      <c r="C12" s="21">
        <v>3.5000000000000003E-2</v>
      </c>
      <c r="D12" s="33">
        <v>5.38</v>
      </c>
      <c r="E12" s="50">
        <v>0.06</v>
      </c>
      <c r="F12" s="23">
        <f t="shared" si="0"/>
        <v>5.7028</v>
      </c>
      <c r="G12" s="22">
        <f t="shared" si="1"/>
        <v>0.18830000000000002</v>
      </c>
      <c r="H12" s="1"/>
      <c r="I12" s="1"/>
      <c r="J12" s="1"/>
      <c r="K12" s="1"/>
      <c r="L12" s="1"/>
      <c r="M12" s="1"/>
    </row>
    <row r="13" spans="2:13" ht="14.4" thickBot="1" x14ac:dyDescent="0.3">
      <c r="B13" s="20" t="s">
        <v>19</v>
      </c>
      <c r="C13" s="21">
        <v>2.5000000000000001E-2</v>
      </c>
      <c r="D13" s="33">
        <v>3.2</v>
      </c>
      <c r="E13" s="50">
        <v>0.06</v>
      </c>
      <c r="F13" s="23">
        <f t="shared" si="0"/>
        <v>3.3920000000000003</v>
      </c>
      <c r="G13" s="22">
        <f t="shared" si="1"/>
        <v>0.08000000000000002</v>
      </c>
      <c r="H13" s="1"/>
      <c r="I13" s="1"/>
      <c r="J13" s="1"/>
      <c r="K13" s="1"/>
      <c r="L13" s="1"/>
      <c r="M13" s="1"/>
    </row>
    <row r="14" spans="2:13" ht="14.4" thickTop="1" x14ac:dyDescent="0.25">
      <c r="B14" s="40" t="s">
        <v>11</v>
      </c>
      <c r="C14" s="41"/>
      <c r="D14" s="41"/>
      <c r="E14" s="41"/>
      <c r="F14" s="41"/>
      <c r="G14" s="32">
        <f>SUM(G5:G13)</f>
        <v>2.9606199999999996</v>
      </c>
      <c r="H14" s="1"/>
      <c r="I14" s="1"/>
      <c r="J14" s="1"/>
      <c r="K14" s="1"/>
      <c r="L14" s="1"/>
      <c r="M14" s="1"/>
    </row>
    <row r="15" spans="2:13" x14ac:dyDescent="0.25">
      <c r="B15" s="42" t="s">
        <v>2</v>
      </c>
      <c r="C15" s="43"/>
      <c r="D15" s="43"/>
      <c r="E15" s="43"/>
      <c r="F15" s="43"/>
      <c r="G15" s="31">
        <v>14</v>
      </c>
      <c r="H15" s="1"/>
      <c r="I15" s="1"/>
      <c r="J15" s="1"/>
      <c r="K15" s="1"/>
      <c r="L15" s="1"/>
      <c r="M15" s="1"/>
    </row>
    <row r="16" spans="2:13" x14ac:dyDescent="0.25">
      <c r="B16" s="44" t="s">
        <v>15</v>
      </c>
      <c r="C16" s="45"/>
      <c r="D16" s="45"/>
      <c r="E16" s="45"/>
      <c r="F16" s="45"/>
      <c r="G16" s="28">
        <f>G15/1.13</f>
        <v>12.389380530973453</v>
      </c>
      <c r="H16" s="1"/>
      <c r="I16" s="1"/>
      <c r="J16" s="1"/>
      <c r="K16" s="1"/>
      <c r="L16" s="1"/>
      <c r="M16" s="1"/>
    </row>
    <row r="17" spans="2:13" ht="15" customHeight="1" thickBot="1" x14ac:dyDescent="0.3">
      <c r="B17" s="46" t="s">
        <v>3</v>
      </c>
      <c r="C17" s="47"/>
      <c r="D17" s="47"/>
      <c r="E17" s="47"/>
      <c r="F17" s="47"/>
      <c r="G17" s="13">
        <f>G14/G16</f>
        <v>0.23896432857142852</v>
      </c>
      <c r="H17" s="8"/>
      <c r="I17" s="1"/>
      <c r="J17" s="1"/>
      <c r="K17" s="1"/>
      <c r="L17" s="1"/>
      <c r="M17" s="1"/>
    </row>
    <row r="18" spans="2:13" ht="14.4" thickTop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3" x14ac:dyDescent="0.25">
      <c r="B19" s="38" t="s">
        <v>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</row>
    <row r="20" spans="2:13" x14ac:dyDescent="0.25">
      <c r="B20" s="39" t="s">
        <v>5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</row>
  </sheetData>
  <mergeCells count="7">
    <mergeCell ref="B20:M20"/>
    <mergeCell ref="B2:G2"/>
    <mergeCell ref="B19:M19"/>
    <mergeCell ref="B14:F14"/>
    <mergeCell ref="B15:F15"/>
    <mergeCell ref="B16:F16"/>
    <mergeCell ref="B17:F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44084-D6CB-480B-BA2D-A91A528D8F26}">
  <dimension ref="B1:K16"/>
  <sheetViews>
    <sheetView workbookViewId="0">
      <selection activeCell="E5" sqref="E5:E9"/>
    </sheetView>
  </sheetViews>
  <sheetFormatPr defaultRowHeight="13.8" x14ac:dyDescent="0.25"/>
  <cols>
    <col min="1" max="1" width="8.88671875" style="11"/>
    <col min="2" max="2" width="20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11" ht="14.4" thickBot="1" x14ac:dyDescent="0.3"/>
    <row r="2" spans="2:11" ht="18" thickBot="1" x14ac:dyDescent="0.3">
      <c r="B2" s="35" t="s">
        <v>9</v>
      </c>
      <c r="C2" s="36"/>
      <c r="D2" s="36"/>
      <c r="E2" s="36"/>
      <c r="F2" s="36"/>
      <c r="G2" s="37"/>
      <c r="H2" s="1"/>
      <c r="I2" s="1"/>
      <c r="J2" s="1"/>
      <c r="K2" s="1"/>
    </row>
    <row r="3" spans="2:11" ht="14.4" thickBot="1" x14ac:dyDescent="0.3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14.4" thickTop="1" x14ac:dyDescent="0.25">
      <c r="B4" s="2" t="s">
        <v>0</v>
      </c>
      <c r="C4" s="3" t="s">
        <v>1</v>
      </c>
      <c r="D4" s="12" t="s">
        <v>32</v>
      </c>
      <c r="E4" s="12" t="s">
        <v>33</v>
      </c>
      <c r="F4" s="12" t="s">
        <v>34</v>
      </c>
      <c r="G4" s="4" t="s">
        <v>16</v>
      </c>
      <c r="H4" s="1"/>
      <c r="I4" s="1"/>
      <c r="J4" s="1"/>
      <c r="K4" s="1"/>
    </row>
    <row r="5" spans="2:11" x14ac:dyDescent="0.25">
      <c r="B5" s="5" t="s">
        <v>30</v>
      </c>
      <c r="C5" s="15">
        <v>0.215</v>
      </c>
      <c r="D5" s="23">
        <v>7.6</v>
      </c>
      <c r="E5" s="48">
        <v>0.06</v>
      </c>
      <c r="F5" s="34">
        <f>D5+(D5*E5)</f>
        <v>8.056</v>
      </c>
      <c r="G5" s="22">
        <f>D5*C5</f>
        <v>1.634</v>
      </c>
      <c r="H5" s="1"/>
      <c r="I5" s="1"/>
      <c r="J5" s="1"/>
      <c r="K5" s="1"/>
    </row>
    <row r="6" spans="2:11" x14ac:dyDescent="0.25">
      <c r="B6" s="5" t="s">
        <v>12</v>
      </c>
      <c r="C6" s="15">
        <v>0.03</v>
      </c>
      <c r="D6" s="23">
        <v>2.98</v>
      </c>
      <c r="E6" s="48">
        <v>0.06</v>
      </c>
      <c r="F6" s="34">
        <f t="shared" ref="F6:F9" si="0">D6+(D6*E6)</f>
        <v>3.1588</v>
      </c>
      <c r="G6" s="22">
        <f t="shared" ref="G6:G9" si="1">D6*C6</f>
        <v>0.0894</v>
      </c>
      <c r="H6" s="1"/>
      <c r="I6" s="1"/>
      <c r="J6" s="1"/>
      <c r="K6" s="1"/>
    </row>
    <row r="7" spans="2:11" x14ac:dyDescent="0.25">
      <c r="B7" s="5" t="s">
        <v>37</v>
      </c>
      <c r="C7" s="15">
        <v>0.17</v>
      </c>
      <c r="D7" s="23">
        <v>0.8435944999999999</v>
      </c>
      <c r="E7" s="48"/>
      <c r="F7" s="34">
        <f t="shared" si="0"/>
        <v>0.8435944999999999</v>
      </c>
      <c r="G7" s="22">
        <f t="shared" si="1"/>
        <v>0.143411065</v>
      </c>
      <c r="H7" s="1"/>
      <c r="I7" s="1"/>
      <c r="J7" s="1"/>
      <c r="K7" s="1"/>
    </row>
    <row r="8" spans="2:11" x14ac:dyDescent="0.25">
      <c r="B8" s="5" t="s">
        <v>17</v>
      </c>
      <c r="C8" s="15">
        <v>0.02</v>
      </c>
      <c r="D8" s="23">
        <v>0.315</v>
      </c>
      <c r="E8" s="48">
        <v>0.06</v>
      </c>
      <c r="F8" s="34">
        <f t="shared" si="0"/>
        <v>0.3339</v>
      </c>
      <c r="G8" s="22">
        <f t="shared" si="1"/>
        <v>0.0063</v>
      </c>
      <c r="H8" s="1"/>
      <c r="I8" s="1"/>
      <c r="J8" s="1"/>
      <c r="K8" s="1"/>
    </row>
    <row r="9" spans="2:11" ht="14.4" thickBot="1" x14ac:dyDescent="0.3">
      <c r="B9" s="6" t="s">
        <v>27</v>
      </c>
      <c r="C9" s="17">
        <v>1</v>
      </c>
      <c r="D9" s="30">
        <v>0.40440000000000004</v>
      </c>
      <c r="E9" s="49"/>
      <c r="F9" s="34">
        <f t="shared" si="0"/>
        <v>0.40440000000000004</v>
      </c>
      <c r="G9" s="22">
        <f t="shared" si="1"/>
        <v>0.40440000000000004</v>
      </c>
      <c r="H9" s="1"/>
      <c r="I9" s="1"/>
      <c r="J9" s="1"/>
      <c r="K9" s="1"/>
    </row>
    <row r="10" spans="2:11" ht="14.4" thickTop="1" x14ac:dyDescent="0.25">
      <c r="B10" s="40" t="s">
        <v>11</v>
      </c>
      <c r="C10" s="41"/>
      <c r="D10" s="41"/>
      <c r="E10" s="41"/>
      <c r="F10" s="41"/>
      <c r="G10" s="27">
        <f>SUM(G5:G9)</f>
        <v>2.2775110649999997</v>
      </c>
      <c r="H10" s="1"/>
      <c r="I10" s="1"/>
      <c r="J10" s="1"/>
      <c r="K10" s="1"/>
    </row>
    <row r="11" spans="2:11" x14ac:dyDescent="0.25">
      <c r="B11" s="42" t="s">
        <v>2</v>
      </c>
      <c r="C11" s="43"/>
      <c r="D11" s="43"/>
      <c r="E11" s="43"/>
      <c r="F11" s="43"/>
      <c r="G11" s="28">
        <v>15</v>
      </c>
      <c r="H11" s="1"/>
      <c r="I11" s="1"/>
      <c r="J11" s="1"/>
      <c r="K11" s="1"/>
    </row>
    <row r="12" spans="2:11" x14ac:dyDescent="0.25">
      <c r="B12" s="44" t="s">
        <v>15</v>
      </c>
      <c r="C12" s="45"/>
      <c r="D12" s="45"/>
      <c r="E12" s="45"/>
      <c r="F12" s="45"/>
      <c r="G12" s="28">
        <f>G11/1.13</f>
        <v>13.274336283185843</v>
      </c>
      <c r="H12" s="1"/>
      <c r="I12" s="1"/>
      <c r="J12" s="1"/>
      <c r="K12" s="1"/>
    </row>
    <row r="13" spans="2:11" ht="15" customHeight="1" thickBot="1" x14ac:dyDescent="0.3">
      <c r="B13" s="46" t="s">
        <v>3</v>
      </c>
      <c r="C13" s="47"/>
      <c r="D13" s="47"/>
      <c r="E13" s="47"/>
      <c r="F13" s="47"/>
      <c r="G13" s="13">
        <f>G10/G12</f>
        <v>0.17157250022999995</v>
      </c>
      <c r="H13" s="8"/>
      <c r="I13" s="8"/>
      <c r="J13" s="1"/>
      <c r="K13" s="1"/>
    </row>
    <row r="14" spans="2:11" ht="14.4" thickTop="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x14ac:dyDescent="0.25">
      <c r="B15" s="38" t="s">
        <v>4</v>
      </c>
      <c r="C15" s="38"/>
      <c r="D15" s="38"/>
      <c r="E15" s="38"/>
      <c r="F15" s="38"/>
      <c r="G15" s="38"/>
      <c r="H15" s="9"/>
      <c r="I15" s="9"/>
      <c r="J15" s="9"/>
      <c r="K15" s="9"/>
    </row>
    <row r="16" spans="2:11" x14ac:dyDescent="0.25">
      <c r="B16" s="39" t="s">
        <v>5</v>
      </c>
      <c r="C16" s="39"/>
      <c r="D16" s="39"/>
      <c r="E16" s="39"/>
      <c r="F16" s="39"/>
      <c r="G16" s="39"/>
      <c r="H16" s="10"/>
      <c r="I16" s="10"/>
      <c r="J16" s="10"/>
      <c r="K16" s="10"/>
    </row>
  </sheetData>
  <mergeCells count="7">
    <mergeCell ref="B2:G2"/>
    <mergeCell ref="B15:G15"/>
    <mergeCell ref="B16:G16"/>
    <mergeCell ref="B10:F10"/>
    <mergeCell ref="B11:F11"/>
    <mergeCell ref="B12:F12"/>
    <mergeCell ref="B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Bife Atum</vt:lpstr>
      <vt:lpstr>Choco Frito</vt:lpstr>
      <vt:lpstr>Camarão à Brás</vt:lpstr>
      <vt:lpstr>Lombo de Salmão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Ribas</dc:creator>
  <cp:lastModifiedBy>Nuno Ribas</cp:lastModifiedBy>
  <dcterms:created xsi:type="dcterms:W3CDTF">2026-06-11T13:24:29Z</dcterms:created>
  <dcterms:modified xsi:type="dcterms:W3CDTF">2026-07-23T14:42:04Z</dcterms:modified>
</cp:coreProperties>
</file>